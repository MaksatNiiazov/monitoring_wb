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-BNN01-BLK" sheetId="2" state="visible" r:id="rId2"/>
    <sheet name="M-JBG01-BLK" sheetId="3" state="visible" r:id="rId3"/>
    <sheet name="M-JBN01-BLK" sheetId="4" state="visible" r:id="rId4"/>
    <sheet name="M-SHR01-BLK" sheetId="5" state="visible" r:id="rId5"/>
    <sheet name="W-LNG01-DBL" sheetId="6" state="visible" r:id="rId6"/>
    <sheet name="W-RSS01-GRY" sheetId="7" state="visible" r:id="rId7"/>
    <sheet name="W-TWD01-BEJ" sheetId="8" state="visible" r:id="rId8"/>
    <sheet name="W-TWD01-BLK" sheetId="9" state="visible" r:id="rId9"/>
    <sheet name="W-WSS01-SG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5324D"/>
    </font>
  </fonts>
  <fills count="7">
    <fill>
      <patternFill/>
    </fill>
    <fill>
      <patternFill patternType="gray125"/>
    </fill>
    <fill>
      <patternFill patternType="solid">
        <fgColor rgb="0015324D"/>
      </patternFill>
    </fill>
    <fill>
      <patternFill patternType="solid">
        <fgColor rgb="00E7EEF8"/>
      </patternFill>
    </fill>
    <fill>
      <patternFill patternType="solid">
        <fgColor rgb="00F7F9FC"/>
      </patternFill>
    </fill>
    <fill>
      <patternFill patternType="solid">
        <fgColor rgb="00F1EAFE"/>
      </patternFill>
    </fill>
    <fill>
      <patternFill patternType="solid">
        <fgColor rgb="00EEF3F7"/>
      </patternFill>
    </fill>
  </fills>
  <borders count="2">
    <border>
      <left/>
      <right/>
      <top/>
      <bottom/>
      <diagonal/>
    </border>
    <border>
      <left style="thin">
        <color rgb="00D4D8E4"/>
      </left>
      <right style="thin">
        <color rgb="00D4D8E4"/>
      </right>
      <top style="thin">
        <color rgb="00D4D8E4"/>
      </top>
      <bottom style="thin">
        <color rgb="00D4D8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left" vertical="center" wrapText="1"/>
    </xf>
    <xf numFmtId="10" fontId="0" fillId="4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2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Мониторинг WB</t>
        </is>
      </c>
      <c r="B1" s="1" t="inlineStr"/>
      <c r="C1" s="1" t="inlineStr"/>
      <c r="D1" s="1" t="inlineStr"/>
      <c r="E1" s="1" t="inlineStr"/>
      <c r="F1" s="1" t="inlineStr"/>
      <c r="G1" s="1" t="n"/>
      <c r="H1" s="1" t="n"/>
      <c r="I1" s="1" t="n"/>
    </row>
    <row r="2">
      <c r="A2" s="2" t="inlineStr">
        <is>
          <t>Сформировано</t>
        </is>
      </c>
      <c r="B2" s="2" t="inlineStr">
        <is>
          <t>2026-03-18 21:47</t>
        </is>
      </c>
      <c r="C2" s="2" t="inlineStr"/>
      <c r="D2" s="2" t="inlineStr"/>
      <c r="E2" s="2" t="inlineStr"/>
      <c r="F2" s="2" t="inlineStr"/>
      <c r="G2" s="2" t="n"/>
      <c r="H2" s="2" t="n"/>
      <c r="I2" s="2" t="n"/>
    </row>
    <row r="3">
      <c r="A3" s="2" t="inlineStr">
        <is>
          <t>Опорная дата остатков</t>
        </is>
      </c>
      <c r="B3" s="2" t="inlineStr">
        <is>
          <t>2026-03-18</t>
        </is>
      </c>
      <c r="C3" s="2" t="inlineStr">
        <is>
          <t>История, дней</t>
        </is>
      </c>
      <c r="D3" s="2" t="n">
        <v>3</v>
      </c>
      <c r="E3" s="2" t="inlineStr"/>
      <c r="F3" s="2" t="inlineStr"/>
      <c r="G3" s="2" t="n"/>
      <c r="H3" s="2" t="n"/>
      <c r="I3" s="2" t="n"/>
    </row>
    <row r="4">
      <c r="A4" s="2" t="inlineStr">
        <is>
          <t>Дата рекламной статистики</t>
        </is>
      </c>
      <c r="B4" s="2" t="inlineStr">
        <is>
          <t>2026-03-17</t>
        </is>
      </c>
      <c r="C4" s="2" t="inlineStr"/>
      <c r="D4" s="2" t="inlineStr"/>
      <c r="E4" s="2" t="inlineStr"/>
      <c r="F4" s="2" t="inlineStr"/>
      <c r="G4" s="2" t="n"/>
      <c r="H4" s="2" t="n"/>
      <c r="I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4" t="inlineStr">
        <is>
          <t>Лист</t>
        </is>
      </c>
      <c r="B6" s="4" t="inlineStr">
        <is>
          <t>nmID</t>
        </is>
      </c>
      <c r="C6" s="4" t="inlineStr">
        <is>
          <t>Товар</t>
        </is>
      </c>
      <c r="D6" s="4" t="inlineStr">
        <is>
          <t>Артикул продавца</t>
        </is>
      </c>
      <c r="E6" s="4" t="inlineStr">
        <is>
          <t>Заказы</t>
        </is>
      </c>
      <c r="F6" s="4" t="inlineStr">
        <is>
          <t>Расход РК</t>
        </is>
      </c>
      <c r="G6" s="4" t="inlineStr">
        <is>
          <t>Остаток WB</t>
        </is>
      </c>
      <c r="H6" s="4" t="inlineStr">
        <is>
          <t>К клиенту</t>
        </is>
      </c>
      <c r="I6" s="4" t="inlineStr">
        <is>
          <t>Кампаний</t>
        </is>
      </c>
    </row>
    <row r="7">
      <c r="A7" s="3" t="inlineStr">
        <is>
          <t>M-BNN01-BLK</t>
        </is>
      </c>
      <c r="B7" s="3" t="n">
        <v>535233688</v>
      </c>
      <c r="C7" s="3" t="inlineStr">
        <is>
          <t>Брюки бананы классические со стрелками</t>
        </is>
      </c>
      <c r="D7" s="3" t="inlineStr">
        <is>
          <t>M-BNN01-BLK</t>
        </is>
      </c>
      <c r="E7" s="3" t="n">
        <v>161</v>
      </c>
      <c r="F7" s="3" t="n">
        <v>9861.32</v>
      </c>
      <c r="G7" s="3" t="n">
        <v>2828</v>
      </c>
      <c r="H7" s="3" t="n">
        <v>722</v>
      </c>
      <c r="I7" s="3" t="n">
        <v>1</v>
      </c>
    </row>
    <row r="8">
      <c r="A8" s="3" t="inlineStr">
        <is>
          <t>M-SHR01-BLK</t>
        </is>
      </c>
      <c r="B8" s="3" t="n">
        <v>672035184</v>
      </c>
      <c r="C8" s="3" t="inlineStr">
        <is>
          <t>Брюки классические широкие</t>
        </is>
      </c>
      <c r="D8" s="3" t="inlineStr">
        <is>
          <t>M-SHR01-BLK</t>
        </is>
      </c>
      <c r="E8" s="3" t="n">
        <v>7</v>
      </c>
      <c r="F8" s="3" t="n">
        <v>665.29</v>
      </c>
      <c r="G8" s="3" t="n">
        <v>141</v>
      </c>
      <c r="H8" s="3" t="n">
        <v>66</v>
      </c>
      <c r="I8" s="3" t="n">
        <v>1</v>
      </c>
    </row>
    <row r="9">
      <c r="A9" s="3" t="inlineStr">
        <is>
          <t>M-JBG01-BLK</t>
        </is>
      </c>
      <c r="B9" s="3" t="n">
        <v>790471991</v>
      </c>
      <c r="C9" s="3" t="inlineStr">
        <is>
          <t>Джинсы багги широкие y2k</t>
        </is>
      </c>
      <c r="D9" s="3" t="inlineStr">
        <is>
          <t>M-JBG01-BLK</t>
        </is>
      </c>
      <c r="E9" s="3" t="n">
        <v>24</v>
      </c>
      <c r="F9" s="3" t="n">
        <v>2009.23</v>
      </c>
      <c r="G9" s="3" t="n">
        <v>108</v>
      </c>
      <c r="H9" s="3" t="n">
        <v>115</v>
      </c>
      <c r="I9" s="3" t="n">
        <v>1</v>
      </c>
    </row>
    <row r="10">
      <c r="A10" s="3" t="inlineStr">
        <is>
          <t>M-JBN01-BLK</t>
        </is>
      </c>
      <c r="B10" s="3" t="n">
        <v>790466752</v>
      </c>
      <c r="C10" s="3" t="inlineStr">
        <is>
          <t>Джинсы бананы широкие</t>
        </is>
      </c>
      <c r="D10" s="3" t="inlineStr">
        <is>
          <t>M-JBN01-BLK</t>
        </is>
      </c>
      <c r="E10" s="3" t="n">
        <v>8</v>
      </c>
      <c r="F10" s="3" t="n">
        <v>1275.48</v>
      </c>
      <c r="G10" s="3" t="n">
        <v>213</v>
      </c>
      <c r="H10" s="3" t="n">
        <v>74</v>
      </c>
      <c r="I10" s="3" t="n">
        <v>1</v>
      </c>
    </row>
    <row r="11">
      <c r="A11" s="3" t="inlineStr">
        <is>
          <t>W-WSS01-SGR</t>
        </is>
      </c>
      <c r="B11" s="3" t="n">
        <v>563835350</v>
      </c>
      <c r="C11" s="3" t="inlineStr">
        <is>
          <t>Костюм спортивный теплый с начесом на флисе</t>
        </is>
      </c>
      <c r="D11" s="3" t="inlineStr">
        <is>
          <t>W-WSS01-SGR</t>
        </is>
      </c>
      <c r="E11" s="3" t="n">
        <v>3</v>
      </c>
      <c r="F11" s="3" t="n">
        <v>0.32</v>
      </c>
      <c r="G11" s="3" t="n">
        <v>0</v>
      </c>
      <c r="H11" s="3" t="n">
        <v>18</v>
      </c>
      <c r="I11" s="3" t="n">
        <v>1</v>
      </c>
    </row>
    <row r="12">
      <c r="A12" s="3" t="inlineStr">
        <is>
          <t>W-LNG01-DBL</t>
        </is>
      </c>
      <c r="B12" s="3" t="n">
        <v>180537574</v>
      </c>
      <c r="C12" s="3" t="inlineStr">
        <is>
          <t>Лонгслив оверсайз свитшот</t>
        </is>
      </c>
      <c r="D12" s="3" t="inlineStr">
        <is>
          <t>W-LNG01-DBL</t>
        </is>
      </c>
      <c r="E12" s="3" t="n">
        <v>41</v>
      </c>
      <c r="F12" s="3" t="n">
        <v>3091.45</v>
      </c>
      <c r="G12" s="3" t="n">
        <v>571</v>
      </c>
      <c r="H12" s="3" t="n">
        <v>197</v>
      </c>
      <c r="I12" s="3" t="n">
        <v>1</v>
      </c>
    </row>
    <row r="13">
      <c r="A13" s="3" t="inlineStr">
        <is>
          <t>W-RSS01-GRY</t>
        </is>
      </c>
      <c r="B13" s="3" t="n">
        <v>708600935</v>
      </c>
      <c r="C13" s="3" t="inlineStr">
        <is>
          <t>Спортивный костюм на молнии без начеса</t>
        </is>
      </c>
      <c r="D13" s="3" t="inlineStr">
        <is>
          <t>W-RSS01-GRY</t>
        </is>
      </c>
      <c r="E13" s="3" t="n">
        <v>33</v>
      </c>
      <c r="F13" s="3" t="n">
        <v>2083.55</v>
      </c>
      <c r="G13" s="3" t="n">
        <v>95</v>
      </c>
      <c r="H13" s="3" t="n">
        <v>132</v>
      </c>
      <c r="I13" s="3" t="n">
        <v>1</v>
      </c>
    </row>
    <row r="14">
      <c r="A14" s="3" t="inlineStr">
        <is>
          <t>W-TWD01-BEJ</t>
        </is>
      </c>
      <c r="B14" s="3" t="n">
        <v>266175348</v>
      </c>
      <c r="C14" s="3" t="inlineStr">
        <is>
          <t>Твидовый костюм</t>
        </is>
      </c>
      <c r="D14" s="3" t="inlineStr">
        <is>
          <t>W-TWD01-BEJ</t>
        </is>
      </c>
      <c r="E14" s="3" t="n">
        <v>17</v>
      </c>
      <c r="F14" s="3" t="n">
        <v>0.36</v>
      </c>
      <c r="G14" s="3" t="n">
        <v>790</v>
      </c>
      <c r="H14" s="3" t="n">
        <v>155</v>
      </c>
      <c r="I14" s="3" t="n">
        <v>1</v>
      </c>
    </row>
    <row r="15">
      <c r="A15" s="3" t="inlineStr">
        <is>
          <t>W-TWD01-BLK</t>
        </is>
      </c>
      <c r="B15" s="3" t="n">
        <v>523023449</v>
      </c>
      <c r="C15" s="3" t="inlineStr">
        <is>
          <t>Твидовый костюм</t>
        </is>
      </c>
      <c r="D15" s="3" t="inlineStr">
        <is>
          <t>W-TWD01-BLK</t>
        </is>
      </c>
      <c r="E15" s="3" t="n">
        <v>7</v>
      </c>
      <c r="F15" s="3" t="n">
        <v>0</v>
      </c>
      <c r="G15" s="3" t="n">
        <v>154</v>
      </c>
      <c r="H15" s="3" t="n">
        <v>36</v>
      </c>
      <c r="I1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/>
      <c r="B1" s="5" t="inlineStr"/>
      <c r="C1" s="5" t="inlineStr">
        <is>
          <t>РК 15.03.2026 / Остатки 16.03.2026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16.03.2026 / Остатки 17.03.2026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17.03.2026 / Остатки 18.03.2026</t>
        </is>
      </c>
      <c r="X1" s="5" t="inlineStr"/>
      <c r="Y1" s="5" t="inlineStr"/>
      <c r="Z1" s="5" t="inlineStr"/>
      <c r="AA1" s="5" t="inlineStr"/>
      <c r="AB1" s="5" t="inlineStr"/>
      <c r="AC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3992.97</v>
      </c>
      <c r="X5" s="11" t="n">
        <v>437.02</v>
      </c>
      <c r="Y5" s="11" t="n">
        <v>5431.33</v>
      </c>
      <c r="Z5" s="11" t="n">
        <v>0</v>
      </c>
      <c r="AA5" s="11" t="n">
        <v>0</v>
      </c>
      <c r="AB5" s="11" t="n">
        <v>9861.32</v>
      </c>
      <c r="AC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27005</v>
      </c>
      <c r="X6" s="13" t="n">
        <v>2903</v>
      </c>
      <c r="Y6" s="13" t="n">
        <v>36710</v>
      </c>
      <c r="Z6" s="13" t="n">
        <v>0</v>
      </c>
      <c r="AA6" s="13" t="n">
        <v>0</v>
      </c>
      <c r="AB6" s="13" t="n">
        <v>66618</v>
      </c>
      <c r="AC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840</v>
      </c>
      <c r="X10" s="13" t="n">
        <v>51</v>
      </c>
      <c r="Y10" s="13" t="n">
        <v>1423</v>
      </c>
      <c r="Z10" s="13" t="n">
        <v>0</v>
      </c>
      <c r="AA10" s="13" t="n">
        <v>0</v>
      </c>
      <c r="AB10" s="13" t="n">
        <v>2314</v>
      </c>
      <c r="AC10" s="13" t="n">
        <v>1203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39</v>
      </c>
      <c r="X11" s="13" t="n">
        <v>3</v>
      </c>
      <c r="Y11" s="13" t="n">
        <v>49</v>
      </c>
      <c r="Z11" s="13" t="n">
        <v>0</v>
      </c>
      <c r="AA11" s="13" t="n">
        <v>0</v>
      </c>
      <c r="AB11" s="13" t="n">
        <v>91</v>
      </c>
      <c r="AC11" s="13" t="n">
        <v>343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29</v>
      </c>
      <c r="X12" s="13" t="n">
        <v>1</v>
      </c>
      <c r="Y12" s="13" t="n">
        <v>98</v>
      </c>
      <c r="Z12" s="13" t="n">
        <v>0</v>
      </c>
      <c r="AA12" s="13" t="n">
        <v>0</v>
      </c>
      <c r="AB12" s="13" t="n">
        <v>128</v>
      </c>
      <c r="AC12" s="13" t="n">
        <v>33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</row>
    <row r="20">
      <c r="A20" s="7" t="inlineStr">
        <is>
          <t>Процент выкупа %</t>
        </is>
      </c>
      <c r="B20" s="8" t="inlineStr"/>
      <c r="C20" s="8" t="n">
        <v>0.29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0.29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0.29</v>
      </c>
      <c r="X20" s="8" t="inlineStr"/>
      <c r="Y20" s="8" t="inlineStr"/>
      <c r="Z20" s="8" t="inlineStr"/>
      <c r="AA20" s="8" t="inlineStr"/>
      <c r="AB20" s="8" t="inlineStr"/>
      <c r="AC20" s="8" t="inlineStr"/>
    </row>
    <row r="21">
      <c r="A21" s="10" t="inlineStr">
        <is>
          <t>Себестоимость</t>
        </is>
      </c>
      <c r="B21" s="11" t="inlineStr"/>
      <c r="C21" s="11" t="n">
        <v>700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700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700</v>
      </c>
      <c r="X21" s="11" t="inlineStr"/>
      <c r="Y21" s="11" t="inlineStr"/>
      <c r="Z21" s="11" t="inlineStr"/>
      <c r="AA21" s="11" t="inlineStr"/>
      <c r="AB21" s="11" t="inlineStr"/>
      <c r="AC21" s="11" t="inlineStr"/>
    </row>
    <row r="22">
      <c r="A22" s="10" t="inlineStr">
        <is>
          <t>Логистика</t>
        </is>
      </c>
      <c r="B22" s="11" t="inlineStr"/>
      <c r="C22" s="11" t="n">
        <v>217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217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217</v>
      </c>
      <c r="X22" s="11" t="inlineStr"/>
      <c r="Y22" s="11" t="inlineStr"/>
      <c r="Z22" s="11" t="inlineStr"/>
      <c r="AA22" s="11" t="inlineStr"/>
      <c r="AB22" s="11" t="inlineStr"/>
      <c r="AC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2828</v>
      </c>
      <c r="AC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722</v>
      </c>
      <c r="AC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288</v>
      </c>
      <c r="AC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161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161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161</v>
      </c>
      <c r="AC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/>
      <c r="B1" s="5" t="inlineStr"/>
      <c r="C1" s="5" t="inlineStr">
        <is>
          <t>РК 15.03.2026 / Остатки 16.03.2026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16.03.2026 / Остатки 17.03.2026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17.03.2026 / Остатки 18.03.2026</t>
        </is>
      </c>
      <c r="X1" s="5" t="inlineStr"/>
      <c r="Y1" s="5" t="inlineStr"/>
      <c r="Z1" s="5" t="inlineStr"/>
      <c r="AA1" s="5" t="inlineStr"/>
      <c r="AB1" s="5" t="inlineStr"/>
      <c r="AC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1128.07</v>
      </c>
      <c r="X5" s="11" t="n">
        <v>176.68</v>
      </c>
      <c r="Y5" s="11" t="n">
        <v>704.48</v>
      </c>
      <c r="Z5" s="11" t="n">
        <v>0</v>
      </c>
      <c r="AA5" s="11" t="n">
        <v>0</v>
      </c>
      <c r="AB5" s="11" t="n">
        <v>2009.23</v>
      </c>
      <c r="AC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7488</v>
      </c>
      <c r="X6" s="13" t="n">
        <v>1171</v>
      </c>
      <c r="Y6" s="13" t="n">
        <v>4680</v>
      </c>
      <c r="Z6" s="13" t="n">
        <v>0</v>
      </c>
      <c r="AA6" s="13" t="n">
        <v>0</v>
      </c>
      <c r="AB6" s="13" t="n">
        <v>13339</v>
      </c>
      <c r="AC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150</v>
      </c>
      <c r="X10" s="13" t="n">
        <v>8</v>
      </c>
      <c r="Y10" s="13" t="n">
        <v>85</v>
      </c>
      <c r="Z10" s="13" t="n">
        <v>0</v>
      </c>
      <c r="AA10" s="13" t="n">
        <v>0</v>
      </c>
      <c r="AB10" s="13" t="n">
        <v>243</v>
      </c>
      <c r="AC10" s="13" t="n">
        <v>372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11</v>
      </c>
      <c r="X11" s="13" t="n">
        <v>4</v>
      </c>
      <c r="Y11" s="13" t="n">
        <v>0</v>
      </c>
      <c r="Z11" s="13" t="n">
        <v>0</v>
      </c>
      <c r="AA11" s="13" t="n">
        <v>0</v>
      </c>
      <c r="AB11" s="13" t="n">
        <v>15</v>
      </c>
      <c r="AC11" s="13" t="n">
        <v>64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7</v>
      </c>
      <c r="X12" s="13" t="n">
        <v>0</v>
      </c>
      <c r="Y12" s="13" t="n">
        <v>4</v>
      </c>
      <c r="Z12" s="13" t="n">
        <v>0</v>
      </c>
      <c r="AA12" s="13" t="n">
        <v>0</v>
      </c>
      <c r="AB12" s="13" t="n">
        <v>11</v>
      </c>
      <c r="AC12" s="13" t="n">
        <v>13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</row>
    <row r="20">
      <c r="A20" s="7" t="inlineStr">
        <is>
          <t>Процент выкупа %</t>
        </is>
      </c>
      <c r="B20" s="8" t="inlineStr"/>
      <c r="C20" s="8" t="n">
        <v>0.26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0.26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0.26</v>
      </c>
      <c r="X20" s="8" t="inlineStr"/>
      <c r="Y20" s="8" t="inlineStr"/>
      <c r="Z20" s="8" t="inlineStr"/>
      <c r="AA20" s="8" t="inlineStr"/>
      <c r="AB20" s="8" t="inlineStr"/>
      <c r="AC20" s="8" t="inlineStr"/>
    </row>
    <row r="21">
      <c r="A21" s="10" t="inlineStr">
        <is>
          <t>Себестоимость</t>
        </is>
      </c>
      <c r="B21" s="11" t="inlineStr"/>
      <c r="C21" s="11" t="n">
        <v>830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830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830</v>
      </c>
      <c r="X21" s="11" t="inlineStr"/>
      <c r="Y21" s="11" t="inlineStr"/>
      <c r="Z21" s="11" t="inlineStr"/>
      <c r="AA21" s="11" t="inlineStr"/>
      <c r="AB21" s="11" t="inlineStr"/>
      <c r="AC21" s="11" t="inlineStr"/>
    </row>
    <row r="22">
      <c r="A22" s="10" t="inlineStr">
        <is>
          <t>Логистика</t>
        </is>
      </c>
      <c r="B22" s="11" t="inlineStr"/>
      <c r="C22" s="11" t="n">
        <v>217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217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217</v>
      </c>
      <c r="X22" s="11" t="inlineStr"/>
      <c r="Y22" s="11" t="inlineStr"/>
      <c r="Z22" s="11" t="inlineStr"/>
      <c r="AA22" s="11" t="inlineStr"/>
      <c r="AB22" s="11" t="inlineStr"/>
      <c r="AC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108</v>
      </c>
      <c r="AC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115</v>
      </c>
      <c r="AC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54</v>
      </c>
      <c r="AC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24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24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24</v>
      </c>
      <c r="AC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/>
      <c r="B1" s="5" t="inlineStr"/>
      <c r="C1" s="5" t="inlineStr">
        <is>
          <t>РК 15.03.2026 / Остатки 16.03.2026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16.03.2026 / Остатки 17.03.2026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17.03.2026 / Остатки 18.03.2026</t>
        </is>
      </c>
      <c r="X1" s="5" t="inlineStr"/>
      <c r="Y1" s="5" t="inlineStr"/>
      <c r="Z1" s="5" t="inlineStr"/>
      <c r="AA1" s="5" t="inlineStr"/>
      <c r="AB1" s="5" t="inlineStr"/>
      <c r="AC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708.4400000000001</v>
      </c>
      <c r="X5" s="11" t="n">
        <v>72.11</v>
      </c>
      <c r="Y5" s="11" t="n">
        <v>494.93</v>
      </c>
      <c r="Z5" s="11" t="n">
        <v>0</v>
      </c>
      <c r="AA5" s="11" t="n">
        <v>0</v>
      </c>
      <c r="AB5" s="11" t="n">
        <v>1275.48</v>
      </c>
      <c r="AC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4714</v>
      </c>
      <c r="X6" s="13" t="n">
        <v>478</v>
      </c>
      <c r="Y6" s="13" t="n">
        <v>3294</v>
      </c>
      <c r="Z6" s="13" t="n">
        <v>0</v>
      </c>
      <c r="AA6" s="13" t="n">
        <v>0</v>
      </c>
      <c r="AB6" s="13" t="n">
        <v>8486</v>
      </c>
      <c r="AC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95</v>
      </c>
      <c r="X10" s="13" t="n">
        <v>4</v>
      </c>
      <c r="Y10" s="13" t="n">
        <v>97</v>
      </c>
      <c r="Z10" s="13" t="n">
        <v>0</v>
      </c>
      <c r="AA10" s="13" t="n">
        <v>0</v>
      </c>
      <c r="AB10" s="13" t="n">
        <v>196</v>
      </c>
      <c r="AC10" s="13" t="n">
        <v>143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5</v>
      </c>
      <c r="X11" s="13" t="n">
        <v>1</v>
      </c>
      <c r="Y11" s="13" t="n">
        <v>5</v>
      </c>
      <c r="Z11" s="13" t="n">
        <v>0</v>
      </c>
      <c r="AA11" s="13" t="n">
        <v>0</v>
      </c>
      <c r="AB11" s="13" t="n">
        <v>11</v>
      </c>
      <c r="AC11" s="13" t="n">
        <v>22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2</v>
      </c>
      <c r="X12" s="13" t="n">
        <v>0</v>
      </c>
      <c r="Y12" s="13" t="n">
        <v>3</v>
      </c>
      <c r="Z12" s="13" t="n">
        <v>0</v>
      </c>
      <c r="AA12" s="13" t="n">
        <v>0</v>
      </c>
      <c r="AB12" s="13" t="n">
        <v>5</v>
      </c>
      <c r="AC12" s="13" t="n">
        <v>3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</row>
    <row r="20">
      <c r="A20" s="7" t="inlineStr">
        <is>
          <t>Процент выкупа %</t>
        </is>
      </c>
      <c r="B20" s="8" t="inlineStr"/>
      <c r="C20" s="8" t="n">
        <v>0.22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0.22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0.22</v>
      </c>
      <c r="X20" s="8" t="inlineStr"/>
      <c r="Y20" s="8" t="inlineStr"/>
      <c r="Z20" s="8" t="inlineStr"/>
      <c r="AA20" s="8" t="inlineStr"/>
      <c r="AB20" s="8" t="inlineStr"/>
      <c r="AC20" s="8" t="inlineStr"/>
    </row>
    <row r="21">
      <c r="A21" s="10" t="inlineStr">
        <is>
          <t>Себестоимость</t>
        </is>
      </c>
      <c r="B21" s="11" t="inlineStr"/>
      <c r="C21" s="11" t="n">
        <v>780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780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780</v>
      </c>
      <c r="X21" s="11" t="inlineStr"/>
      <c r="Y21" s="11" t="inlineStr"/>
      <c r="Z21" s="11" t="inlineStr"/>
      <c r="AA21" s="11" t="inlineStr"/>
      <c r="AB21" s="11" t="inlineStr"/>
      <c r="AC21" s="11" t="inlineStr"/>
    </row>
    <row r="22">
      <c r="A22" s="10" t="inlineStr">
        <is>
          <t>Логистика</t>
        </is>
      </c>
      <c r="B22" s="11" t="inlineStr"/>
      <c r="C22" s="11" t="n">
        <v>217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217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217</v>
      </c>
      <c r="X22" s="11" t="inlineStr"/>
      <c r="Y22" s="11" t="inlineStr"/>
      <c r="Z22" s="11" t="inlineStr"/>
      <c r="AA22" s="11" t="inlineStr"/>
      <c r="AB22" s="11" t="inlineStr"/>
      <c r="AC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213</v>
      </c>
      <c r="AC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74</v>
      </c>
      <c r="AC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46</v>
      </c>
      <c r="AC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8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8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8</v>
      </c>
      <c r="AC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/>
      <c r="B1" s="5" t="inlineStr"/>
      <c r="C1" s="5" t="inlineStr">
        <is>
          <t>РК 15.03.2026 / Остатки 16.03.2026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16.03.2026 / Остатки 17.03.2026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17.03.2026 / Остатки 18.03.2026</t>
        </is>
      </c>
      <c r="X1" s="5" t="inlineStr"/>
      <c r="Y1" s="5" t="inlineStr"/>
      <c r="Z1" s="5" t="inlineStr"/>
      <c r="AA1" s="5" t="inlineStr"/>
      <c r="AB1" s="5" t="inlineStr"/>
      <c r="AC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336.65</v>
      </c>
      <c r="X5" s="11" t="n">
        <v>75.22</v>
      </c>
      <c r="Y5" s="11" t="n">
        <v>253.42</v>
      </c>
      <c r="Z5" s="11" t="n">
        <v>0</v>
      </c>
      <c r="AA5" s="11" t="n">
        <v>0</v>
      </c>
      <c r="AB5" s="11" t="n">
        <v>665.29</v>
      </c>
      <c r="AC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2244</v>
      </c>
      <c r="X6" s="13" t="n">
        <v>499</v>
      </c>
      <c r="Y6" s="13" t="n">
        <v>1698</v>
      </c>
      <c r="Z6" s="13" t="n">
        <v>0</v>
      </c>
      <c r="AA6" s="13" t="n">
        <v>0</v>
      </c>
      <c r="AB6" s="13" t="n">
        <v>4441</v>
      </c>
      <c r="AC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50</v>
      </c>
      <c r="X10" s="13" t="n">
        <v>3</v>
      </c>
      <c r="Y10" s="13" t="n">
        <v>41</v>
      </c>
      <c r="Z10" s="13" t="n">
        <v>0</v>
      </c>
      <c r="AA10" s="13" t="n">
        <v>0</v>
      </c>
      <c r="AB10" s="13" t="n">
        <v>94</v>
      </c>
      <c r="AC10" s="13" t="n">
        <v>526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3</v>
      </c>
      <c r="X11" s="13" t="n">
        <v>0</v>
      </c>
      <c r="Y11" s="13" t="n">
        <v>3</v>
      </c>
      <c r="Z11" s="13" t="n">
        <v>0</v>
      </c>
      <c r="AA11" s="13" t="n">
        <v>0</v>
      </c>
      <c r="AB11" s="13" t="n">
        <v>6</v>
      </c>
      <c r="AC11" s="13" t="n">
        <v>20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0</v>
      </c>
      <c r="X12" s="13" t="n">
        <v>0</v>
      </c>
      <c r="Y12" s="13" t="n">
        <v>5</v>
      </c>
      <c r="Z12" s="13" t="n">
        <v>0</v>
      </c>
      <c r="AA12" s="13" t="n">
        <v>0</v>
      </c>
      <c r="AB12" s="13" t="n">
        <v>5</v>
      </c>
      <c r="AC12" s="13" t="n">
        <v>2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</row>
    <row r="20">
      <c r="A20" s="7" t="inlineStr">
        <is>
          <t>Процент выкупа %</t>
        </is>
      </c>
      <c r="B20" s="8" t="inlineStr"/>
      <c r="C20" s="8" t="n">
        <v>0.34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0.34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0.34</v>
      </c>
      <c r="X20" s="8" t="inlineStr"/>
      <c r="Y20" s="8" t="inlineStr"/>
      <c r="Z20" s="8" t="inlineStr"/>
      <c r="AA20" s="8" t="inlineStr"/>
      <c r="AB20" s="8" t="inlineStr"/>
      <c r="AC20" s="8" t="inlineStr"/>
    </row>
    <row r="21">
      <c r="A21" s="10" t="inlineStr">
        <is>
          <t>Себестоимость</t>
        </is>
      </c>
      <c r="B21" s="11" t="inlineStr"/>
      <c r="C21" s="11" t="n">
        <v>900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900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900</v>
      </c>
      <c r="X21" s="11" t="inlineStr"/>
      <c r="Y21" s="11" t="inlineStr"/>
      <c r="Z21" s="11" t="inlineStr"/>
      <c r="AA21" s="11" t="inlineStr"/>
      <c r="AB21" s="11" t="inlineStr"/>
      <c r="AC21" s="11" t="inlineStr"/>
    </row>
    <row r="22">
      <c r="A22" s="10" t="inlineStr">
        <is>
          <t>Логистика</t>
        </is>
      </c>
      <c r="B22" s="11" t="inlineStr"/>
      <c r="C22" s="11" t="n">
        <v>275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275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275</v>
      </c>
      <c r="X22" s="11" t="inlineStr"/>
      <c r="Y22" s="11" t="inlineStr"/>
      <c r="Z22" s="11" t="inlineStr"/>
      <c r="AA22" s="11" t="inlineStr"/>
      <c r="AB22" s="11" t="inlineStr"/>
      <c r="AC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141</v>
      </c>
      <c r="AC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66</v>
      </c>
      <c r="AC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30</v>
      </c>
      <c r="AC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7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7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7</v>
      </c>
      <c r="AC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/>
      <c r="B1" s="5" t="inlineStr"/>
      <c r="C1" s="5" t="inlineStr">
        <is>
          <t>РК 15.03.2026 / Остатки 16.03.2026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16.03.2026 / Остатки 17.03.2026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17.03.2026 / Остатки 18.03.2026</t>
        </is>
      </c>
      <c r="X1" s="5" t="inlineStr"/>
      <c r="Y1" s="5" t="inlineStr"/>
      <c r="Z1" s="5" t="inlineStr"/>
      <c r="AA1" s="5" t="inlineStr"/>
      <c r="AB1" s="5" t="inlineStr"/>
      <c r="AC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1368.35</v>
      </c>
      <c r="X5" s="11" t="n">
        <v>129.77</v>
      </c>
      <c r="Y5" s="11" t="n">
        <v>1593.33</v>
      </c>
      <c r="Z5" s="11" t="n">
        <v>0</v>
      </c>
      <c r="AA5" s="11" t="n">
        <v>0</v>
      </c>
      <c r="AB5" s="11" t="n">
        <v>3091.45</v>
      </c>
      <c r="AC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9150</v>
      </c>
      <c r="X6" s="13" t="n">
        <v>860</v>
      </c>
      <c r="Y6" s="13" t="n">
        <v>10674</v>
      </c>
      <c r="Z6" s="13" t="n">
        <v>0</v>
      </c>
      <c r="AA6" s="13" t="n">
        <v>0</v>
      </c>
      <c r="AB6" s="13" t="n">
        <v>20684</v>
      </c>
      <c r="AC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308</v>
      </c>
      <c r="X10" s="13" t="n">
        <v>12</v>
      </c>
      <c r="Y10" s="13" t="n">
        <v>477</v>
      </c>
      <c r="Z10" s="13" t="n">
        <v>0</v>
      </c>
      <c r="AA10" s="13" t="n">
        <v>0</v>
      </c>
      <c r="AB10" s="13" t="n">
        <v>797</v>
      </c>
      <c r="AC10" s="13" t="n">
        <v>342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38</v>
      </c>
      <c r="X11" s="13" t="n">
        <v>1</v>
      </c>
      <c r="Y11" s="13" t="n">
        <v>10</v>
      </c>
      <c r="Z11" s="13" t="n">
        <v>0</v>
      </c>
      <c r="AA11" s="13" t="n">
        <v>0</v>
      </c>
      <c r="AB11" s="13" t="n">
        <v>49</v>
      </c>
      <c r="AC11" s="13" t="n">
        <v>165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6</v>
      </c>
      <c r="X12" s="13" t="n">
        <v>0</v>
      </c>
      <c r="Y12" s="13" t="n">
        <v>15</v>
      </c>
      <c r="Z12" s="13" t="n">
        <v>0</v>
      </c>
      <c r="AA12" s="13" t="n">
        <v>0</v>
      </c>
      <c r="AB12" s="13" t="n">
        <v>21</v>
      </c>
      <c r="AC12" s="13" t="n">
        <v>20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</row>
    <row r="20">
      <c r="A20" s="7" t="inlineStr">
        <is>
          <t>Процент выкупа %</t>
        </is>
      </c>
      <c r="B20" s="8" t="inlineStr"/>
      <c r="C20" s="8" t="n">
        <v>0.5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0.5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0.5</v>
      </c>
      <c r="X20" s="8" t="inlineStr"/>
      <c r="Y20" s="8" t="inlineStr"/>
      <c r="Z20" s="8" t="inlineStr"/>
      <c r="AA20" s="8" t="inlineStr"/>
      <c r="AB20" s="8" t="inlineStr"/>
      <c r="AC20" s="8" t="inlineStr"/>
    </row>
    <row r="21">
      <c r="A21" s="10" t="inlineStr">
        <is>
          <t>Себестоимость</t>
        </is>
      </c>
      <c r="B21" s="11" t="inlineStr"/>
      <c r="C21" s="11" t="n">
        <v>500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500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500</v>
      </c>
      <c r="X21" s="11" t="inlineStr"/>
      <c r="Y21" s="11" t="inlineStr"/>
      <c r="Z21" s="11" t="inlineStr"/>
      <c r="AA21" s="11" t="inlineStr"/>
      <c r="AB21" s="11" t="inlineStr"/>
      <c r="AC21" s="11" t="inlineStr"/>
    </row>
    <row r="22">
      <c r="A22" s="10" t="inlineStr">
        <is>
          <t>Логистика</t>
        </is>
      </c>
      <c r="B22" s="11" t="inlineStr"/>
      <c r="C22" s="11" t="n">
        <v>182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182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182</v>
      </c>
      <c r="X22" s="11" t="inlineStr"/>
      <c r="Y22" s="11" t="inlineStr"/>
      <c r="Z22" s="11" t="inlineStr"/>
      <c r="AA22" s="11" t="inlineStr"/>
      <c r="AB22" s="11" t="inlineStr"/>
      <c r="AC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571</v>
      </c>
      <c r="AC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197</v>
      </c>
      <c r="AC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79</v>
      </c>
      <c r="AC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41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41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41</v>
      </c>
      <c r="AC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/>
      <c r="B1" s="5" t="inlineStr"/>
      <c r="C1" s="5" t="inlineStr">
        <is>
          <t>РК 15.03.2026 / Остатки 16.03.2026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16.03.2026 / Остатки 17.03.2026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17.03.2026 / Остатки 18.03.2026</t>
        </is>
      </c>
      <c r="X1" s="5" t="inlineStr"/>
      <c r="Y1" s="5" t="inlineStr"/>
      <c r="Z1" s="5" t="inlineStr"/>
      <c r="AA1" s="5" t="inlineStr"/>
      <c r="AB1" s="5" t="inlineStr"/>
      <c r="AC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1284.44</v>
      </c>
      <c r="X5" s="11" t="n">
        <v>132.33</v>
      </c>
      <c r="Y5" s="11" t="n">
        <v>666.78</v>
      </c>
      <c r="Z5" s="11" t="n">
        <v>0</v>
      </c>
      <c r="AA5" s="11" t="n">
        <v>0</v>
      </c>
      <c r="AB5" s="11" t="n">
        <v>2083.55</v>
      </c>
      <c r="AC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8585</v>
      </c>
      <c r="X6" s="13" t="n">
        <v>878</v>
      </c>
      <c r="Y6" s="13" t="n">
        <v>4451</v>
      </c>
      <c r="Z6" s="13" t="n">
        <v>0</v>
      </c>
      <c r="AA6" s="13" t="n">
        <v>0</v>
      </c>
      <c r="AB6" s="13" t="n">
        <v>13914</v>
      </c>
      <c r="AC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665</v>
      </c>
      <c r="X10" s="13" t="n">
        <v>19</v>
      </c>
      <c r="Y10" s="13" t="n">
        <v>259</v>
      </c>
      <c r="Z10" s="13" t="n">
        <v>0</v>
      </c>
      <c r="AA10" s="13" t="n">
        <v>0</v>
      </c>
      <c r="AB10" s="13" t="n">
        <v>943</v>
      </c>
      <c r="AC10" s="13" t="n">
        <v>3556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13</v>
      </c>
      <c r="X11" s="13" t="n">
        <v>2</v>
      </c>
      <c r="Y11" s="13" t="n">
        <v>1</v>
      </c>
      <c r="Z11" s="13" t="n">
        <v>0</v>
      </c>
      <c r="AA11" s="13" t="n">
        <v>0</v>
      </c>
      <c r="AB11" s="13" t="n">
        <v>16</v>
      </c>
      <c r="AC11" s="13" t="n">
        <v>208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2</v>
      </c>
      <c r="X12" s="13" t="n">
        <v>0</v>
      </c>
      <c r="Y12" s="13" t="n">
        <v>4</v>
      </c>
      <c r="Z12" s="13" t="n">
        <v>0</v>
      </c>
      <c r="AA12" s="13" t="n">
        <v>0</v>
      </c>
      <c r="AB12" s="13" t="n">
        <v>6</v>
      </c>
      <c r="AC12" s="13" t="n">
        <v>27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</row>
    <row r="20">
      <c r="A20" s="7" t="inlineStr">
        <is>
          <t>Процент выкупа %</t>
        </is>
      </c>
      <c r="B20" s="8" t="inlineStr"/>
      <c r="C20" s="8" t="n">
        <v>0.24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0.24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0.24</v>
      </c>
      <c r="X20" s="8" t="inlineStr"/>
      <c r="Y20" s="8" t="inlineStr"/>
      <c r="Z20" s="8" t="inlineStr"/>
      <c r="AA20" s="8" t="inlineStr"/>
      <c r="AB20" s="8" t="inlineStr"/>
      <c r="AC20" s="8" t="inlineStr"/>
    </row>
    <row r="21">
      <c r="A21" s="10" t="inlineStr">
        <is>
          <t>Себестоимость</t>
        </is>
      </c>
      <c r="B21" s="11" t="inlineStr"/>
      <c r="C21" s="11" t="n">
        <v>1450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1450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1450</v>
      </c>
      <c r="X21" s="11" t="inlineStr"/>
      <c r="Y21" s="11" t="inlineStr"/>
      <c r="Z21" s="11" t="inlineStr"/>
      <c r="AA21" s="11" t="inlineStr"/>
      <c r="AB21" s="11" t="inlineStr"/>
      <c r="AC21" s="11" t="inlineStr"/>
    </row>
    <row r="22">
      <c r="A22" s="10" t="inlineStr">
        <is>
          <t>Логистика</t>
        </is>
      </c>
      <c r="B22" s="11" t="inlineStr"/>
      <c r="C22" s="11" t="n">
        <v>490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490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490</v>
      </c>
      <c r="X22" s="11" t="inlineStr"/>
      <c r="Y22" s="11" t="inlineStr"/>
      <c r="Z22" s="11" t="inlineStr"/>
      <c r="AA22" s="11" t="inlineStr"/>
      <c r="AB22" s="11" t="inlineStr"/>
      <c r="AC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95</v>
      </c>
      <c r="AC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132</v>
      </c>
      <c r="AC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68</v>
      </c>
      <c r="AC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33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33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33</v>
      </c>
      <c r="AC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/>
      <c r="B1" s="5" t="inlineStr"/>
      <c r="C1" s="5" t="inlineStr">
        <is>
          <t>РК 15.03.2026 / Остатки 16.03.2026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16.03.2026 / Остатки 17.03.2026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17.03.2026 / Остатки 18.03.2026</t>
        </is>
      </c>
      <c r="X1" s="5" t="inlineStr"/>
      <c r="Y1" s="5" t="inlineStr"/>
      <c r="Z1" s="5" t="inlineStr"/>
      <c r="AA1" s="5" t="inlineStr"/>
      <c r="AB1" s="5" t="inlineStr"/>
      <c r="AC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0</v>
      </c>
      <c r="X5" s="11" t="n">
        <v>0</v>
      </c>
      <c r="Y5" s="11" t="n">
        <v>0.36</v>
      </c>
      <c r="Z5" s="11" t="n">
        <v>0</v>
      </c>
      <c r="AA5" s="11" t="n">
        <v>0</v>
      </c>
      <c r="AB5" s="11" t="n">
        <v>0.36</v>
      </c>
      <c r="AC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0</v>
      </c>
      <c r="X6" s="13" t="n">
        <v>0</v>
      </c>
      <c r="Y6" s="13" t="n">
        <v>8</v>
      </c>
      <c r="Z6" s="13" t="n">
        <v>0</v>
      </c>
      <c r="AA6" s="13" t="n">
        <v>0</v>
      </c>
      <c r="AB6" s="13" t="n">
        <v>8</v>
      </c>
      <c r="AC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1955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104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1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1</v>
      </c>
      <c r="AC12" s="13" t="n">
        <v>16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</row>
    <row r="20">
      <c r="A20" s="7" t="inlineStr">
        <is>
          <t>Процент выкупа %</t>
        </is>
      </c>
      <c r="B20" s="8" t="inlineStr"/>
      <c r="C20" s="8" t="n">
        <v>0.17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0.17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0.17</v>
      </c>
      <c r="X20" s="8" t="inlineStr"/>
      <c r="Y20" s="8" t="inlineStr"/>
      <c r="Z20" s="8" t="inlineStr"/>
      <c r="AA20" s="8" t="inlineStr"/>
      <c r="AB20" s="8" t="inlineStr"/>
      <c r="AC20" s="8" t="inlineStr"/>
    </row>
    <row r="21">
      <c r="A21" s="10" t="inlineStr">
        <is>
          <t>Себестоимость</t>
        </is>
      </c>
      <c r="B21" s="11" t="inlineStr"/>
      <c r="C21" s="11" t="n">
        <v>1500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1500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1500</v>
      </c>
      <c r="X21" s="11" t="inlineStr"/>
      <c r="Y21" s="11" t="inlineStr"/>
      <c r="Z21" s="11" t="inlineStr"/>
      <c r="AA21" s="11" t="inlineStr"/>
      <c r="AB21" s="11" t="inlineStr"/>
      <c r="AC21" s="11" t="inlineStr"/>
    </row>
    <row r="22">
      <c r="A22" s="10" t="inlineStr">
        <is>
          <t>Логистика</t>
        </is>
      </c>
      <c r="B22" s="11" t="inlineStr"/>
      <c r="C22" s="11" t="n">
        <v>336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336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336</v>
      </c>
      <c r="X22" s="11" t="inlineStr"/>
      <c r="Y22" s="11" t="inlineStr"/>
      <c r="Z22" s="11" t="inlineStr"/>
      <c r="AA22" s="11" t="inlineStr"/>
      <c r="AB22" s="11" t="inlineStr"/>
      <c r="AC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790</v>
      </c>
      <c r="AC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155</v>
      </c>
      <c r="AC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58</v>
      </c>
      <c r="AC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17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17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17</v>
      </c>
      <c r="AC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/>
      <c r="B1" s="5" t="inlineStr"/>
      <c r="C1" s="5" t="inlineStr">
        <is>
          <t>РК 15.03.2026 / Остатки 16.03.2026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16.03.2026 / Остатки 17.03.2026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17.03.2026 / Остатки 18.03.2026</t>
        </is>
      </c>
      <c r="X1" s="5" t="inlineStr"/>
      <c r="Y1" s="5" t="inlineStr"/>
      <c r="Z1" s="5" t="inlineStr"/>
      <c r="AA1" s="5" t="inlineStr"/>
      <c r="AB1" s="5" t="inlineStr"/>
      <c r="AC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792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12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7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</row>
    <row r="20">
      <c r="A20" s="7" t="inlineStr">
        <is>
          <t>Процент выкупа %</t>
        </is>
      </c>
      <c r="B20" s="8" t="inlineStr"/>
      <c r="C20" s="8" t="n">
        <v>0.16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0.16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0.16</v>
      </c>
      <c r="X20" s="8" t="inlineStr"/>
      <c r="Y20" s="8" t="inlineStr"/>
      <c r="Z20" s="8" t="inlineStr"/>
      <c r="AA20" s="8" t="inlineStr"/>
      <c r="AB20" s="8" t="inlineStr"/>
      <c r="AC20" s="8" t="inlineStr"/>
    </row>
    <row r="21">
      <c r="A21" s="10" t="inlineStr">
        <is>
          <t>Себестоимость</t>
        </is>
      </c>
      <c r="B21" s="11" t="inlineStr"/>
      <c r="C21" s="11" t="n">
        <v>1500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1500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1500</v>
      </c>
      <c r="X21" s="11" t="inlineStr"/>
      <c r="Y21" s="11" t="inlineStr"/>
      <c r="Z21" s="11" t="inlineStr"/>
      <c r="AA21" s="11" t="inlineStr"/>
      <c r="AB21" s="11" t="inlineStr"/>
      <c r="AC21" s="11" t="inlineStr"/>
    </row>
    <row r="22">
      <c r="A22" s="10" t="inlineStr">
        <is>
          <t>Логистика</t>
        </is>
      </c>
      <c r="B22" s="11" t="inlineStr"/>
      <c r="C22" s="11" t="n">
        <v>336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336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336</v>
      </c>
      <c r="X22" s="11" t="inlineStr"/>
      <c r="Y22" s="11" t="inlineStr"/>
      <c r="Z22" s="11" t="inlineStr"/>
      <c r="AA22" s="11" t="inlineStr"/>
      <c r="AB22" s="11" t="inlineStr"/>
      <c r="AC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154</v>
      </c>
      <c r="AC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36</v>
      </c>
      <c r="AC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23</v>
      </c>
      <c r="AC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7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7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7</v>
      </c>
      <c r="AC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4" customWidth="1" min="11" max="11"/>
    <col width="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" customWidth="1" min="20" max="20"/>
    <col width="24" customWidth="1" min="21" max="21"/>
    <col width="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/>
      <c r="B1" s="5" t="inlineStr"/>
      <c r="C1" s="5" t="inlineStr">
        <is>
          <t>РК 15.03.2026 / Остатки 16.03.2026</t>
        </is>
      </c>
      <c r="D1" s="5" t="inlineStr"/>
      <c r="E1" s="5" t="inlineStr"/>
      <c r="F1" s="5" t="inlineStr"/>
      <c r="G1" s="5" t="inlineStr"/>
      <c r="H1" s="5" t="inlineStr"/>
      <c r="I1" s="5" t="inlineStr"/>
      <c r="J1" t="inlineStr"/>
      <c r="K1" s="1" t="inlineStr"/>
      <c r="L1" s="5" t="inlineStr"/>
      <c r="M1" s="5" t="inlineStr">
        <is>
          <t>РК 16.03.2026 / Остатки 17.03.2026</t>
        </is>
      </c>
      <c r="N1" s="5" t="inlineStr"/>
      <c r="O1" s="5" t="inlineStr"/>
      <c r="P1" s="5" t="inlineStr"/>
      <c r="Q1" s="5" t="inlineStr"/>
      <c r="R1" s="5" t="inlineStr"/>
      <c r="S1" s="5" t="inlineStr"/>
      <c r="T1" t="inlineStr"/>
      <c r="U1" s="1" t="inlineStr"/>
      <c r="V1" s="5" t="inlineStr"/>
      <c r="W1" s="5" t="inlineStr">
        <is>
          <t>РК 17.03.2026 / Остатки 18.03.2026</t>
        </is>
      </c>
      <c r="X1" s="5" t="inlineStr"/>
      <c r="Y1" s="5" t="inlineStr"/>
      <c r="Z1" s="5" t="inlineStr"/>
      <c r="AA1" s="5" t="inlineStr"/>
      <c r="AB1" s="5" t="inlineStr"/>
      <c r="AC1" s="5" t="inlineStr"/>
    </row>
    <row r="2">
      <c r="A2" s="1" t="inlineStr">
        <is>
          <t>Тип рекламной кампании</t>
        </is>
      </c>
      <c r="B2" s="5" t="inlineStr"/>
      <c r="C2" s="5" t="inlineStr">
        <is>
          <t>Единая ставка</t>
        </is>
      </c>
      <c r="D2" s="5" t="inlineStr"/>
      <c r="E2" s="5" t="inlineStr"/>
      <c r="F2" s="5" t="inlineStr">
        <is>
          <t>Руч. поиск</t>
        </is>
      </c>
      <c r="G2" s="5" t="inlineStr">
        <is>
          <t>Руч. полки</t>
        </is>
      </c>
      <c r="H2" s="5" t="inlineStr">
        <is>
          <t>Итого реклама</t>
        </is>
      </c>
      <c r="I2" s="5" t="inlineStr">
        <is>
          <t>Органика</t>
        </is>
      </c>
      <c r="J2" t="inlineStr"/>
      <c r="K2" s="1" t="inlineStr">
        <is>
          <t>Тип рекламной кампании</t>
        </is>
      </c>
      <c r="L2" s="5" t="inlineStr"/>
      <c r="M2" s="5" t="inlineStr">
        <is>
          <t>Единая ставка</t>
        </is>
      </c>
      <c r="N2" s="5" t="inlineStr"/>
      <c r="O2" s="5" t="inlineStr"/>
      <c r="P2" s="5" t="inlineStr">
        <is>
          <t>Руч. поиск</t>
        </is>
      </c>
      <c r="Q2" s="5" t="inlineStr">
        <is>
          <t>Руч. полки</t>
        </is>
      </c>
      <c r="R2" s="5" t="inlineStr">
        <is>
          <t>Итого реклама</t>
        </is>
      </c>
      <c r="S2" s="5" t="inlineStr">
        <is>
          <t>Органика</t>
        </is>
      </c>
      <c r="T2" t="inlineStr"/>
      <c r="U2" s="1" t="inlineStr">
        <is>
          <t>Тип рекламной кампании</t>
        </is>
      </c>
      <c r="V2" s="5" t="inlineStr"/>
      <c r="W2" s="5" t="inlineStr">
        <is>
          <t>Единая ставка</t>
        </is>
      </c>
      <c r="X2" s="5" t="inlineStr"/>
      <c r="Y2" s="5" t="inlineStr"/>
      <c r="Z2" s="5" t="inlineStr">
        <is>
          <t>Руч. поиск</t>
        </is>
      </c>
      <c r="AA2" s="5" t="inlineStr">
        <is>
          <t>Руч. полки</t>
        </is>
      </c>
      <c r="AB2" s="5" t="inlineStr">
        <is>
          <t>Итого реклама</t>
        </is>
      </c>
      <c r="AC2" s="5" t="inlineStr">
        <is>
          <t>Органика</t>
        </is>
      </c>
    </row>
    <row r="3">
      <c r="A3" s="4" t="inlineStr">
        <is>
          <t>Зоны показов</t>
        </is>
      </c>
      <c r="B3" s="6" t="inlineStr"/>
      <c r="C3" s="6" t="inlineStr">
        <is>
          <t>Поиск</t>
        </is>
      </c>
      <c r="D3" s="6" t="inlineStr">
        <is>
          <t>Полки</t>
        </is>
      </c>
      <c r="E3" s="6" t="inlineStr">
        <is>
          <t>Каталог</t>
        </is>
      </c>
      <c r="F3" s="6" t="inlineStr">
        <is>
          <t>Поиск</t>
        </is>
      </c>
      <c r="G3" s="6" t="inlineStr">
        <is>
          <t>Полки</t>
        </is>
      </c>
      <c r="H3" s="6" t="inlineStr">
        <is>
          <t>Общая</t>
        </is>
      </c>
      <c r="I3" s="6" t="inlineStr">
        <is>
          <t>ОРГ</t>
        </is>
      </c>
      <c r="J3" t="inlineStr"/>
      <c r="K3" s="4" t="inlineStr">
        <is>
          <t>Зоны показов</t>
        </is>
      </c>
      <c r="L3" s="6" t="inlineStr"/>
      <c r="M3" s="6" t="inlineStr">
        <is>
          <t>Поиск</t>
        </is>
      </c>
      <c r="N3" s="6" t="inlineStr">
        <is>
          <t>Полки</t>
        </is>
      </c>
      <c r="O3" s="6" t="inlineStr">
        <is>
          <t>Каталог</t>
        </is>
      </c>
      <c r="P3" s="6" t="inlineStr">
        <is>
          <t>Поиск</t>
        </is>
      </c>
      <c r="Q3" s="6" t="inlineStr">
        <is>
          <t>Полки</t>
        </is>
      </c>
      <c r="R3" s="6" t="inlineStr">
        <is>
          <t>Общая</t>
        </is>
      </c>
      <c r="S3" s="6" t="inlineStr">
        <is>
          <t>ОРГ</t>
        </is>
      </c>
      <c r="T3" t="inlineStr"/>
      <c r="U3" s="4" t="inlineStr">
        <is>
          <t>Зоны показов</t>
        </is>
      </c>
      <c r="V3" s="6" t="inlineStr"/>
      <c r="W3" s="6" t="inlineStr">
        <is>
          <t>Поиск</t>
        </is>
      </c>
      <c r="X3" s="6" t="inlineStr">
        <is>
          <t>Полки</t>
        </is>
      </c>
      <c r="Y3" s="6" t="inlineStr">
        <is>
          <t>Каталог</t>
        </is>
      </c>
      <c r="Z3" s="6" t="inlineStr">
        <is>
          <t>Поиск</t>
        </is>
      </c>
      <c r="AA3" s="6" t="inlineStr">
        <is>
          <t>Полки</t>
        </is>
      </c>
      <c r="AB3" s="6" t="inlineStr">
        <is>
          <t>Общая</t>
        </is>
      </c>
      <c r="AC3" s="6" t="inlineStr">
        <is>
          <t>ОРГ</t>
        </is>
      </c>
    </row>
    <row r="4">
      <c r="A4" s="7" t="inlineStr">
        <is>
          <t>Доля трафика (%)</t>
        </is>
      </c>
      <c r="B4" s="8" t="inlineStr"/>
      <c r="C4" s="9">
        <f>IFERROR(C6/SUM(C6:E6),0)</f>
        <v/>
      </c>
      <c r="D4" s="9">
        <f>IFERROR(D6/SUM(C6:E6),0)</f>
        <v/>
      </c>
      <c r="E4" s="9">
        <f>IFERROR(E6/SUM(C6:E6),0)</f>
        <v/>
      </c>
      <c r="F4" s="9">
        <f>IF(F6&gt;0,1,0)</f>
        <v/>
      </c>
      <c r="G4" s="9">
        <f>IF(G6&gt;0,1,0)</f>
        <v/>
      </c>
      <c r="H4" s="8" t="inlineStr"/>
      <c r="I4" s="8" t="inlineStr"/>
      <c r="J4" t="inlineStr"/>
      <c r="K4" s="7" t="inlineStr">
        <is>
          <t>Доля трафика (%)</t>
        </is>
      </c>
      <c r="L4" s="8" t="inlineStr"/>
      <c r="M4" s="9">
        <f>IFERROR(M6/SUM(M6:O6),0)</f>
        <v/>
      </c>
      <c r="N4" s="9">
        <f>IFERROR(N6/SUM(M6:O6),0)</f>
        <v/>
      </c>
      <c r="O4" s="9">
        <f>IFERROR(O6/SUM(M6:O6),0)</f>
        <v/>
      </c>
      <c r="P4" s="9">
        <f>IF(P6&gt;0,1,0)</f>
        <v/>
      </c>
      <c r="Q4" s="9">
        <f>IF(Q6&gt;0,1,0)</f>
        <v/>
      </c>
      <c r="R4" s="8" t="inlineStr"/>
      <c r="S4" s="8" t="inlineStr"/>
      <c r="T4" t="inlineStr"/>
      <c r="U4" s="7" t="inlineStr">
        <is>
          <t>Доля трафика (%)</t>
        </is>
      </c>
      <c r="V4" s="8" t="inlineStr"/>
      <c r="W4" s="9">
        <f>IFERROR(W6/SUM(W6:Y6),0)</f>
        <v/>
      </c>
      <c r="X4" s="9">
        <f>IFERROR(X6/SUM(W6:Y6),0)</f>
        <v/>
      </c>
      <c r="Y4" s="9">
        <f>IFERROR(Y6/SUM(W6:Y6),0)</f>
        <v/>
      </c>
      <c r="Z4" s="9">
        <f>IF(Z6&gt;0,1,0)</f>
        <v/>
      </c>
      <c r="AA4" s="9">
        <f>IF(AA6&gt;0,1,0)</f>
        <v/>
      </c>
      <c r="AB4" s="8" t="inlineStr"/>
      <c r="AC4" s="8" t="inlineStr"/>
    </row>
    <row r="5">
      <c r="A5" s="10" t="inlineStr">
        <is>
          <t>Затраты (руб)</t>
        </is>
      </c>
      <c r="B5" s="11" t="inlineStr"/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inlineStr"/>
      <c r="J5" t="inlineStr"/>
      <c r="K5" s="10" t="inlineStr">
        <is>
          <t>Затраты (руб)</t>
        </is>
      </c>
      <c r="L5" s="11" t="inlineStr"/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inlineStr"/>
      <c r="T5" t="inlineStr"/>
      <c r="U5" s="10" t="inlineStr">
        <is>
          <t>Затраты (руб)</t>
        </is>
      </c>
      <c r="V5" s="11" t="inlineStr"/>
      <c r="W5" s="11" t="n">
        <v>0.17</v>
      </c>
      <c r="X5" s="11" t="n">
        <v>0</v>
      </c>
      <c r="Y5" s="11" t="n">
        <v>0.15</v>
      </c>
      <c r="Z5" s="11" t="n">
        <v>0</v>
      </c>
      <c r="AA5" s="11" t="n">
        <v>0</v>
      </c>
      <c r="AB5" s="11" t="n">
        <v>0.32</v>
      </c>
      <c r="AC5" s="11" t="inlineStr"/>
    </row>
    <row r="6">
      <c r="A6" s="12" t="inlineStr">
        <is>
          <t>Показы</t>
        </is>
      </c>
      <c r="B6" s="13" t="inlineStr"/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inlineStr"/>
      <c r="J6" t="inlineStr"/>
      <c r="K6" s="12" t="inlineStr">
        <is>
          <t>Показы</t>
        </is>
      </c>
      <c r="L6" s="13" t="inlineStr"/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inlineStr"/>
      <c r="T6" t="inlineStr"/>
      <c r="U6" s="12" t="inlineStr">
        <is>
          <t>Показы</t>
        </is>
      </c>
      <c r="V6" s="13" t="inlineStr"/>
      <c r="W6" s="13" t="n">
        <v>1</v>
      </c>
      <c r="X6" s="13" t="n">
        <v>0</v>
      </c>
      <c r="Y6" s="13" t="n">
        <v>3</v>
      </c>
      <c r="Z6" s="13" t="n">
        <v>0</v>
      </c>
      <c r="AA6" s="13" t="n">
        <v>0</v>
      </c>
      <c r="AB6" s="13" t="n">
        <v>4</v>
      </c>
      <c r="AC6" s="13" t="inlineStr"/>
    </row>
    <row r="7">
      <c r="A7" s="7" t="inlineStr">
        <is>
          <t>CTR</t>
        </is>
      </c>
      <c r="B7" s="8" t="inlineStr"/>
      <c r="C7" s="9">
        <f>IFERROR(C10/C6,0)</f>
        <v/>
      </c>
      <c r="D7" s="9">
        <f>IFERROR(D10/D6,0)</f>
        <v/>
      </c>
      <c r="E7" s="9">
        <f>IFERROR(E10/E6,0)</f>
        <v/>
      </c>
      <c r="F7" s="9">
        <f>IFERROR(F10/F6,0)</f>
        <v/>
      </c>
      <c r="G7" s="9">
        <f>IFERROR(G10/G6,0)</f>
        <v/>
      </c>
      <c r="H7" s="9">
        <f>IFERROR(H10/H6,0)</f>
        <v/>
      </c>
      <c r="I7" s="8" t="inlineStr"/>
      <c r="J7" t="inlineStr"/>
      <c r="K7" s="7" t="inlineStr">
        <is>
          <t>CTR</t>
        </is>
      </c>
      <c r="L7" s="8" t="inlineStr"/>
      <c r="M7" s="9">
        <f>IFERROR(M10/M6,0)</f>
        <v/>
      </c>
      <c r="N7" s="9">
        <f>IFERROR(N10/N6,0)</f>
        <v/>
      </c>
      <c r="O7" s="9">
        <f>IFERROR(O10/O6,0)</f>
        <v/>
      </c>
      <c r="P7" s="9">
        <f>IFERROR(P10/P6,0)</f>
        <v/>
      </c>
      <c r="Q7" s="9">
        <f>IFERROR(Q10/Q6,0)</f>
        <v/>
      </c>
      <c r="R7" s="9">
        <f>IFERROR(R10/R6,0)</f>
        <v/>
      </c>
      <c r="S7" s="8" t="inlineStr"/>
      <c r="T7" t="inlineStr"/>
      <c r="U7" s="7" t="inlineStr">
        <is>
          <t>CTR</t>
        </is>
      </c>
      <c r="V7" s="8" t="inlineStr"/>
      <c r="W7" s="9">
        <f>IFERROR(W10/W6,0)</f>
        <v/>
      </c>
      <c r="X7" s="9">
        <f>IFERROR(X10/X6,0)</f>
        <v/>
      </c>
      <c r="Y7" s="9">
        <f>IFERROR(Y10/Y6,0)</f>
        <v/>
      </c>
      <c r="Z7" s="9">
        <f>IFERROR(Z10/Z6,0)</f>
        <v/>
      </c>
      <c r="AA7" s="9">
        <f>IFERROR(AA10/AA6,0)</f>
        <v/>
      </c>
      <c r="AB7" s="9">
        <f>IFERROR(AB10/AB6,0)</f>
        <v/>
      </c>
      <c r="AC7" s="8" t="inlineStr"/>
    </row>
    <row r="8">
      <c r="A8" s="10" t="inlineStr">
        <is>
          <t>CPM</t>
        </is>
      </c>
      <c r="B8" s="11" t="inlineStr"/>
      <c r="C8" s="14">
        <f>IFERROR(C5*1000/C6,0)</f>
        <v/>
      </c>
      <c r="D8" s="14">
        <f>IFERROR(D5*1000/D6,0)</f>
        <v/>
      </c>
      <c r="E8" s="14">
        <f>IFERROR(E5*1000/E6,0)</f>
        <v/>
      </c>
      <c r="F8" s="14">
        <f>IFERROR(F5*1000/F6,0)</f>
        <v/>
      </c>
      <c r="G8" s="14">
        <f>IFERROR(G5*1000/G6,0)</f>
        <v/>
      </c>
      <c r="H8" s="14">
        <f>IFERROR(H5*1000/H6,0)</f>
        <v/>
      </c>
      <c r="I8" s="11" t="inlineStr"/>
      <c r="J8" t="inlineStr"/>
      <c r="K8" s="10" t="inlineStr">
        <is>
          <t>CPM</t>
        </is>
      </c>
      <c r="L8" s="11" t="inlineStr"/>
      <c r="M8" s="14">
        <f>IFERROR(M5*1000/M6,0)</f>
        <v/>
      </c>
      <c r="N8" s="14">
        <f>IFERROR(N5*1000/N6,0)</f>
        <v/>
      </c>
      <c r="O8" s="14">
        <f>IFERROR(O5*1000/O6,0)</f>
        <v/>
      </c>
      <c r="P8" s="14">
        <f>IFERROR(P5*1000/P6,0)</f>
        <v/>
      </c>
      <c r="Q8" s="14">
        <f>IFERROR(Q5*1000/Q6,0)</f>
        <v/>
      </c>
      <c r="R8" s="14">
        <f>IFERROR(R5*1000/R6,0)</f>
        <v/>
      </c>
      <c r="S8" s="11" t="inlineStr"/>
      <c r="T8" t="inlineStr"/>
      <c r="U8" s="10" t="inlineStr">
        <is>
          <t>CPM</t>
        </is>
      </c>
      <c r="V8" s="11" t="inlineStr"/>
      <c r="W8" s="14">
        <f>IFERROR(W5*1000/W6,0)</f>
        <v/>
      </c>
      <c r="X8" s="14">
        <f>IFERROR(X5*1000/X6,0)</f>
        <v/>
      </c>
      <c r="Y8" s="14">
        <f>IFERROR(Y5*1000/Y6,0)</f>
        <v/>
      </c>
      <c r="Z8" s="14">
        <f>IFERROR(Z5*1000/Z6,0)</f>
        <v/>
      </c>
      <c r="AA8" s="14">
        <f>IFERROR(AA5*1000/AA6,0)</f>
        <v/>
      </c>
      <c r="AB8" s="14">
        <f>IFERROR(AB5*1000/AB6,0)</f>
        <v/>
      </c>
      <c r="AC8" s="11" t="inlineStr"/>
    </row>
    <row r="9">
      <c r="A9" s="10" t="inlineStr">
        <is>
          <t>CPC</t>
        </is>
      </c>
      <c r="B9" s="11" t="inlineStr"/>
      <c r="C9" s="14">
        <f>IFERROR(C5/C10,0)</f>
        <v/>
      </c>
      <c r="D9" s="14">
        <f>IFERROR(D5/D10,0)</f>
        <v/>
      </c>
      <c r="E9" s="14">
        <f>IFERROR(E5/E10,0)</f>
        <v/>
      </c>
      <c r="F9" s="14">
        <f>IFERROR(F5/F10,0)</f>
        <v/>
      </c>
      <c r="G9" s="14">
        <f>IFERROR(G5/G10,0)</f>
        <v/>
      </c>
      <c r="H9" s="14">
        <f>IFERROR(H5/H10,0)</f>
        <v/>
      </c>
      <c r="I9" s="11" t="inlineStr"/>
      <c r="J9" t="inlineStr"/>
      <c r="K9" s="10" t="inlineStr">
        <is>
          <t>CPC</t>
        </is>
      </c>
      <c r="L9" s="11" t="inlineStr"/>
      <c r="M9" s="14">
        <f>IFERROR(M5/M10,0)</f>
        <v/>
      </c>
      <c r="N9" s="14">
        <f>IFERROR(N5/N10,0)</f>
        <v/>
      </c>
      <c r="O9" s="14">
        <f>IFERROR(O5/O10,0)</f>
        <v/>
      </c>
      <c r="P9" s="14">
        <f>IFERROR(P5/P10,0)</f>
        <v/>
      </c>
      <c r="Q9" s="14">
        <f>IFERROR(Q5/Q10,0)</f>
        <v/>
      </c>
      <c r="R9" s="14">
        <f>IFERROR(R5/R10,0)</f>
        <v/>
      </c>
      <c r="S9" s="11" t="inlineStr"/>
      <c r="T9" t="inlineStr"/>
      <c r="U9" s="10" t="inlineStr">
        <is>
          <t>CPC</t>
        </is>
      </c>
      <c r="V9" s="11" t="inlineStr"/>
      <c r="W9" s="14">
        <f>IFERROR(W5/W10,0)</f>
        <v/>
      </c>
      <c r="X9" s="14">
        <f>IFERROR(X5/X10,0)</f>
        <v/>
      </c>
      <c r="Y9" s="14">
        <f>IFERROR(Y5/Y10,0)</f>
        <v/>
      </c>
      <c r="Z9" s="14">
        <f>IFERROR(Z5/Z10,0)</f>
        <v/>
      </c>
      <c r="AA9" s="14">
        <f>IFERROR(AA5/AA10,0)</f>
        <v/>
      </c>
      <c r="AB9" s="14">
        <f>IFERROR(AB5/AB10,0)</f>
        <v/>
      </c>
      <c r="AC9" s="11" t="inlineStr"/>
    </row>
    <row r="10">
      <c r="A10" s="12" t="inlineStr">
        <is>
          <t>Клики</t>
        </is>
      </c>
      <c r="B10" s="13" t="inlineStr"/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t="inlineStr"/>
      <c r="K10" s="12" t="inlineStr">
        <is>
          <t>Клики</t>
        </is>
      </c>
      <c r="L10" s="13" t="inlineStr"/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t="inlineStr"/>
      <c r="U10" s="12" t="inlineStr">
        <is>
          <t>Клики</t>
        </is>
      </c>
      <c r="V10" s="13" t="inlineStr"/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573</v>
      </c>
    </row>
    <row r="11">
      <c r="A11" s="12" t="inlineStr">
        <is>
          <t>Корзины</t>
        </is>
      </c>
      <c r="B11" s="13" t="inlineStr"/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t="inlineStr"/>
      <c r="K11" s="12" t="inlineStr">
        <is>
          <t>Корзины</t>
        </is>
      </c>
      <c r="L11" s="13" t="inlineStr"/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t="inlineStr"/>
      <c r="U11" s="12" t="inlineStr">
        <is>
          <t>Корзины</t>
        </is>
      </c>
      <c r="V11" s="13" t="inlineStr"/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13</v>
      </c>
    </row>
    <row r="12">
      <c r="A12" s="12" t="inlineStr">
        <is>
          <t>Заказы</t>
        </is>
      </c>
      <c r="B12" s="13" t="inlineStr"/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t="inlineStr"/>
      <c r="K12" s="12" t="inlineStr">
        <is>
          <t>Заказы</t>
        </is>
      </c>
      <c r="L12" s="13" t="inlineStr"/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t="inlineStr"/>
      <c r="U12" s="12" t="inlineStr">
        <is>
          <t>Заказы</t>
        </is>
      </c>
      <c r="V12" s="13" t="inlineStr"/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3</v>
      </c>
    </row>
    <row r="13">
      <c r="A13" s="10" t="inlineStr">
        <is>
          <t>Заказы (руб.)</t>
        </is>
      </c>
      <c r="B13" s="11" t="inlineStr"/>
      <c r="C13" s="14">
        <f>C12*G38</f>
        <v/>
      </c>
      <c r="D13" s="14">
        <f>D12*G38</f>
        <v/>
      </c>
      <c r="E13" s="14">
        <f>E12*G38</f>
        <v/>
      </c>
      <c r="F13" s="14">
        <f>F12*G38</f>
        <v/>
      </c>
      <c r="G13" s="14">
        <f>G12*G38</f>
        <v/>
      </c>
      <c r="H13" s="14">
        <f>H12*G38</f>
        <v/>
      </c>
      <c r="I13" s="14">
        <f>I12*G38</f>
        <v/>
      </c>
      <c r="J13" t="inlineStr"/>
      <c r="K13" s="10" t="inlineStr">
        <is>
          <t>Заказы (руб.)</t>
        </is>
      </c>
      <c r="L13" s="11" t="inlineStr"/>
      <c r="M13" s="14">
        <f>M12*Q38</f>
        <v/>
      </c>
      <c r="N13" s="14">
        <f>N12*Q38</f>
        <v/>
      </c>
      <c r="O13" s="14">
        <f>O12*Q38</f>
        <v/>
      </c>
      <c r="P13" s="14">
        <f>P12*Q38</f>
        <v/>
      </c>
      <c r="Q13" s="14">
        <f>Q12*Q38</f>
        <v/>
      </c>
      <c r="R13" s="14">
        <f>R12*Q38</f>
        <v/>
      </c>
      <c r="S13" s="14">
        <f>S12*Q38</f>
        <v/>
      </c>
      <c r="T13" t="inlineStr"/>
      <c r="U13" s="10" t="inlineStr">
        <is>
          <t>Заказы (руб.)</t>
        </is>
      </c>
      <c r="V13" s="11" t="inlineStr"/>
      <c r="W13" s="14">
        <f>W12*AA38</f>
        <v/>
      </c>
      <c r="X13" s="14">
        <f>X12*AA38</f>
        <v/>
      </c>
      <c r="Y13" s="14">
        <f>Y12*AA38</f>
        <v/>
      </c>
      <c r="Z13" s="14">
        <f>Z12*AA38</f>
        <v/>
      </c>
      <c r="AA13" s="14">
        <f>AA12*AA38</f>
        <v/>
      </c>
      <c r="AB13" s="14">
        <f>AB12*AA38</f>
        <v/>
      </c>
      <c r="AC13" s="14">
        <f>AC12*AA38</f>
        <v/>
      </c>
    </row>
    <row r="14">
      <c r="A14" s="10" t="inlineStr">
        <is>
          <t>Выкупы ≈ (руб.)</t>
        </is>
      </c>
      <c r="B14" s="11" t="inlineStr"/>
      <c r="C14" s="14">
        <f>C13*C20</f>
        <v/>
      </c>
      <c r="D14" s="14">
        <f>D13*C20</f>
        <v/>
      </c>
      <c r="E14" s="14">
        <f>E13*C20</f>
        <v/>
      </c>
      <c r="F14" s="14">
        <f>F13*C20</f>
        <v/>
      </c>
      <c r="G14" s="14">
        <f>G13*C20</f>
        <v/>
      </c>
      <c r="H14" s="14">
        <f>H13*C20</f>
        <v/>
      </c>
      <c r="I14" s="11" t="inlineStr"/>
      <c r="J14" t="inlineStr"/>
      <c r="K14" s="10" t="inlineStr">
        <is>
          <t>Выкупы ≈ (руб.)</t>
        </is>
      </c>
      <c r="L14" s="11" t="inlineStr"/>
      <c r="M14" s="14">
        <f>M13*M20</f>
        <v/>
      </c>
      <c r="N14" s="14">
        <f>N13*M20</f>
        <v/>
      </c>
      <c r="O14" s="14">
        <f>O13*M20</f>
        <v/>
      </c>
      <c r="P14" s="14">
        <f>P13*M20</f>
        <v/>
      </c>
      <c r="Q14" s="14">
        <f>Q13*M20</f>
        <v/>
      </c>
      <c r="R14" s="14">
        <f>R13*M20</f>
        <v/>
      </c>
      <c r="S14" s="11" t="inlineStr"/>
      <c r="T14" t="inlineStr"/>
      <c r="U14" s="10" t="inlineStr">
        <is>
          <t>Выкупы ≈ (руб.)</t>
        </is>
      </c>
      <c r="V14" s="11" t="inlineStr"/>
      <c r="W14" s="14">
        <f>W13*W20</f>
        <v/>
      </c>
      <c r="X14" s="14">
        <f>X13*W20</f>
        <v/>
      </c>
      <c r="Y14" s="14">
        <f>Y13*W20</f>
        <v/>
      </c>
      <c r="Z14" s="14">
        <f>Z13*W20</f>
        <v/>
      </c>
      <c r="AA14" s="14">
        <f>AA13*W20</f>
        <v/>
      </c>
      <c r="AB14" s="14">
        <f>AB13*W20</f>
        <v/>
      </c>
      <c r="AC14" s="11" t="inlineStr"/>
    </row>
    <row r="15">
      <c r="A15" s="10" t="inlineStr">
        <is>
          <t>Стоимость заказа</t>
        </is>
      </c>
      <c r="B15" s="11" t="inlineStr"/>
      <c r="C15" s="14">
        <f>IFERROR(C5/C12,0)</f>
        <v/>
      </c>
      <c r="D15" s="14">
        <f>IFERROR(D5/D12,0)</f>
        <v/>
      </c>
      <c r="E15" s="14">
        <f>IFERROR(E5/E12,0)</f>
        <v/>
      </c>
      <c r="F15" s="14">
        <f>IFERROR(F5/F12,0)</f>
        <v/>
      </c>
      <c r="G15" s="14">
        <f>IFERROR(G5/G12,0)</f>
        <v/>
      </c>
      <c r="H15" s="14">
        <f>IFERROR(H5/H12,0)</f>
        <v/>
      </c>
      <c r="I15" s="11" t="inlineStr"/>
      <c r="J15" t="inlineStr"/>
      <c r="K15" s="10" t="inlineStr">
        <is>
          <t>Стоимость заказа</t>
        </is>
      </c>
      <c r="L15" s="11" t="inlineStr"/>
      <c r="M15" s="14">
        <f>IFERROR(M5/M12,0)</f>
        <v/>
      </c>
      <c r="N15" s="14">
        <f>IFERROR(N5/N12,0)</f>
        <v/>
      </c>
      <c r="O15" s="14">
        <f>IFERROR(O5/O12,0)</f>
        <v/>
      </c>
      <c r="P15" s="14">
        <f>IFERROR(P5/P12,0)</f>
        <v/>
      </c>
      <c r="Q15" s="14">
        <f>IFERROR(Q5/Q12,0)</f>
        <v/>
      </c>
      <c r="R15" s="14">
        <f>IFERROR(R5/R12,0)</f>
        <v/>
      </c>
      <c r="S15" s="11" t="inlineStr"/>
      <c r="T15" t="inlineStr"/>
      <c r="U15" s="10" t="inlineStr">
        <is>
          <t>Стоимость заказа</t>
        </is>
      </c>
      <c r="V15" s="11" t="inlineStr"/>
      <c r="W15" s="14">
        <f>IFERROR(W5/W12,0)</f>
        <v/>
      </c>
      <c r="X15" s="14">
        <f>IFERROR(X5/X12,0)</f>
        <v/>
      </c>
      <c r="Y15" s="14">
        <f>IFERROR(Y5/Y12,0)</f>
        <v/>
      </c>
      <c r="Z15" s="14">
        <f>IFERROR(Z5/Z12,0)</f>
        <v/>
      </c>
      <c r="AA15" s="14">
        <f>IFERROR(AA5/AA12,0)</f>
        <v/>
      </c>
      <c r="AB15" s="14">
        <f>IFERROR(AB5/AB12,0)</f>
        <v/>
      </c>
      <c r="AC15" s="11" t="inlineStr"/>
    </row>
    <row r="16">
      <c r="A16" s="10" t="inlineStr">
        <is>
          <t>Стоимость корзины</t>
        </is>
      </c>
      <c r="B16" s="11" t="inlineStr"/>
      <c r="C16" s="14">
        <f>IFERROR(C5/C11,0)</f>
        <v/>
      </c>
      <c r="D16" s="14">
        <f>IFERROR(D5/D11,0)</f>
        <v/>
      </c>
      <c r="E16" s="14">
        <f>IFERROR(E5/E11,0)</f>
        <v/>
      </c>
      <c r="F16" s="14">
        <f>IFERROR(F5/F11,0)</f>
        <v/>
      </c>
      <c r="G16" s="14">
        <f>IFERROR(G5/G11,0)</f>
        <v/>
      </c>
      <c r="H16" s="14">
        <f>IFERROR(H5/H11,0)</f>
        <v/>
      </c>
      <c r="I16" s="11" t="inlineStr"/>
      <c r="J16" t="inlineStr"/>
      <c r="K16" s="10" t="inlineStr">
        <is>
          <t>Стоимость корзины</t>
        </is>
      </c>
      <c r="L16" s="11" t="inlineStr"/>
      <c r="M16" s="14">
        <f>IFERROR(M5/M11,0)</f>
        <v/>
      </c>
      <c r="N16" s="14">
        <f>IFERROR(N5/N11,0)</f>
        <v/>
      </c>
      <c r="O16" s="14">
        <f>IFERROR(O5/O11,0)</f>
        <v/>
      </c>
      <c r="P16" s="14">
        <f>IFERROR(P5/P11,0)</f>
        <v/>
      </c>
      <c r="Q16" s="14">
        <f>IFERROR(Q5/Q11,0)</f>
        <v/>
      </c>
      <c r="R16" s="14">
        <f>IFERROR(R5/R11,0)</f>
        <v/>
      </c>
      <c r="S16" s="11" t="inlineStr"/>
      <c r="T16" t="inlineStr"/>
      <c r="U16" s="10" t="inlineStr">
        <is>
          <t>Стоимость корзины</t>
        </is>
      </c>
      <c r="V16" s="11" t="inlineStr"/>
      <c r="W16" s="14">
        <f>IFERROR(W5/W11,0)</f>
        <v/>
      </c>
      <c r="X16" s="14">
        <f>IFERROR(X5/X11,0)</f>
        <v/>
      </c>
      <c r="Y16" s="14">
        <f>IFERROR(Y5/Y11,0)</f>
        <v/>
      </c>
      <c r="Z16" s="14">
        <f>IFERROR(Z5/Z11,0)</f>
        <v/>
      </c>
      <c r="AA16" s="14">
        <f>IFERROR(AA5/AA11,0)</f>
        <v/>
      </c>
      <c r="AB16" s="14">
        <f>IFERROR(AB5/AB11,0)</f>
        <v/>
      </c>
      <c r="AC16" s="11" t="inlineStr"/>
    </row>
    <row r="17">
      <c r="A17" s="7" t="inlineStr">
        <is>
          <t>ДРР от заказов (%)</t>
        </is>
      </c>
      <c r="B17" s="8" t="inlineStr"/>
      <c r="C17" s="9">
        <f>IFERROR(C5/C13,0)</f>
        <v/>
      </c>
      <c r="D17" s="9">
        <f>IFERROR(D5/D13,0)</f>
        <v/>
      </c>
      <c r="E17" s="9">
        <f>IFERROR(E5/E13,0)</f>
        <v/>
      </c>
      <c r="F17" s="9">
        <f>IFERROR(F5/F13,0)</f>
        <v/>
      </c>
      <c r="G17" s="9">
        <f>IFERROR(G5/G13,0)</f>
        <v/>
      </c>
      <c r="H17" s="9">
        <f>IFERROR(H5/H13,0)</f>
        <v/>
      </c>
      <c r="I17" s="8" t="inlineStr"/>
      <c r="J17" t="inlineStr"/>
      <c r="K17" s="7" t="inlineStr">
        <is>
          <t>ДРР от заказов (%)</t>
        </is>
      </c>
      <c r="L17" s="8" t="inlineStr"/>
      <c r="M17" s="9">
        <f>IFERROR(M5/M13,0)</f>
        <v/>
      </c>
      <c r="N17" s="9">
        <f>IFERROR(N5/N13,0)</f>
        <v/>
      </c>
      <c r="O17" s="9">
        <f>IFERROR(O5/O13,0)</f>
        <v/>
      </c>
      <c r="P17" s="9">
        <f>IFERROR(P5/P13,0)</f>
        <v/>
      </c>
      <c r="Q17" s="9">
        <f>IFERROR(Q5/Q13,0)</f>
        <v/>
      </c>
      <c r="R17" s="9">
        <f>IFERROR(R5/R13,0)</f>
        <v/>
      </c>
      <c r="S17" s="8" t="inlineStr"/>
      <c r="T17" t="inlineStr"/>
      <c r="U17" s="7" t="inlineStr">
        <is>
          <t>ДРР от заказов (%)</t>
        </is>
      </c>
      <c r="V17" s="8" t="inlineStr"/>
      <c r="W17" s="9">
        <f>IFERROR(W5/W13,0)</f>
        <v/>
      </c>
      <c r="X17" s="9">
        <f>IFERROR(X5/X13,0)</f>
        <v/>
      </c>
      <c r="Y17" s="9">
        <f>IFERROR(Y5/Y13,0)</f>
        <v/>
      </c>
      <c r="Z17" s="9">
        <f>IFERROR(Z5/Z13,0)</f>
        <v/>
      </c>
      <c r="AA17" s="9">
        <f>IFERROR(AA5/AA13,0)</f>
        <v/>
      </c>
      <c r="AB17" s="9">
        <f>IFERROR(AB5/AB13,0)</f>
        <v/>
      </c>
      <c r="AC17" s="8" t="inlineStr"/>
    </row>
    <row r="18">
      <c r="A18" s="7" t="inlineStr">
        <is>
          <t>ДРР от продаж ≈ (%)</t>
        </is>
      </c>
      <c r="B18" s="8" t="inlineStr"/>
      <c r="C18" s="9">
        <f>IFERROR(C5/C14,0)</f>
        <v/>
      </c>
      <c r="D18" s="9">
        <f>IFERROR(D5/D14,0)</f>
        <v/>
      </c>
      <c r="E18" s="9">
        <f>IFERROR(E5/E14,0)</f>
        <v/>
      </c>
      <c r="F18" s="9">
        <f>IFERROR(F5/F14,0)</f>
        <v/>
      </c>
      <c r="G18" s="9">
        <f>IFERROR(G5/G14,0)</f>
        <v/>
      </c>
      <c r="H18" s="9">
        <f>IFERROR(H5/H14,0)</f>
        <v/>
      </c>
      <c r="I18" s="8" t="inlineStr"/>
      <c r="J18" t="inlineStr"/>
      <c r="K18" s="7" t="inlineStr">
        <is>
          <t>ДРР от продаж ≈ (%)</t>
        </is>
      </c>
      <c r="L18" s="8" t="inlineStr"/>
      <c r="M18" s="9">
        <f>IFERROR(M5/M14,0)</f>
        <v/>
      </c>
      <c r="N18" s="9">
        <f>IFERROR(N5/N14,0)</f>
        <v/>
      </c>
      <c r="O18" s="9">
        <f>IFERROR(O5/O14,0)</f>
        <v/>
      </c>
      <c r="P18" s="9">
        <f>IFERROR(P5/P14,0)</f>
        <v/>
      </c>
      <c r="Q18" s="9">
        <f>IFERROR(Q5/Q14,0)</f>
        <v/>
      </c>
      <c r="R18" s="9">
        <f>IFERROR(R5/R14,0)</f>
        <v/>
      </c>
      <c r="S18" s="8" t="inlineStr"/>
      <c r="T18" t="inlineStr"/>
      <c r="U18" s="7" t="inlineStr">
        <is>
          <t>ДРР от продаж ≈ (%)</t>
        </is>
      </c>
      <c r="V18" s="8" t="inlineStr"/>
      <c r="W18" s="9">
        <f>IFERROR(W5/W14,0)</f>
        <v/>
      </c>
      <c r="X18" s="9">
        <f>IFERROR(X5/X14,0)</f>
        <v/>
      </c>
      <c r="Y18" s="9">
        <f>IFERROR(Y5/Y14,0)</f>
        <v/>
      </c>
      <c r="Z18" s="9">
        <f>IFERROR(Z5/Z14,0)</f>
        <v/>
      </c>
      <c r="AA18" s="9">
        <f>IFERROR(AA5/AA14,0)</f>
        <v/>
      </c>
      <c r="AB18" s="9">
        <f>IFERROR(AB5/AB14,0)</f>
        <v/>
      </c>
      <c r="AC18" s="8" t="inlineStr"/>
    </row>
    <row r="19">
      <c r="A19" s="10" t="inlineStr">
        <is>
          <t>Прибыль (без налогов и костов вне ВБ)</t>
        </is>
      </c>
      <c r="B19" s="11" t="inlineStr"/>
      <c r="C19" s="14">
        <f>C14-C5-(C12*C20*(C21+C22))</f>
        <v/>
      </c>
      <c r="D19" s="14">
        <f>D14-D5-(D12*C20*(C21+C22))</f>
        <v/>
      </c>
      <c r="E19" s="14">
        <f>E14-E5-(E12*C20*(C21+C22))</f>
        <v/>
      </c>
      <c r="F19" s="14">
        <f>F14-F5-(F12*C20*(C21+C22))</f>
        <v/>
      </c>
      <c r="G19" s="14">
        <f>G14-G5-(G12*C20*(C21+C22))</f>
        <v/>
      </c>
      <c r="H19" s="14">
        <f>H14-H5-(H12*C20*(C21+C22))</f>
        <v/>
      </c>
      <c r="I19" s="11" t="inlineStr"/>
      <c r="J19" t="inlineStr"/>
      <c r="K19" s="10" t="inlineStr">
        <is>
          <t>Прибыль (без налогов и костов вне ВБ)</t>
        </is>
      </c>
      <c r="L19" s="11" t="inlineStr"/>
      <c r="M19" s="14">
        <f>M14-M5-(M12*M20*(M21+M22))</f>
        <v/>
      </c>
      <c r="N19" s="14">
        <f>N14-N5-(N12*M20*(M21+M22))</f>
        <v/>
      </c>
      <c r="O19" s="14">
        <f>O14-O5-(O12*M20*(M21+M22))</f>
        <v/>
      </c>
      <c r="P19" s="14">
        <f>P14-P5-(P12*M20*(M21+M22))</f>
        <v/>
      </c>
      <c r="Q19" s="14">
        <f>Q14-Q5-(Q12*M20*(M21+M22))</f>
        <v/>
      </c>
      <c r="R19" s="14">
        <f>R14-R5-(R12*M20*(M21+M22))</f>
        <v/>
      </c>
      <c r="S19" s="11" t="inlineStr"/>
      <c r="T19" t="inlineStr"/>
      <c r="U19" s="10" t="inlineStr">
        <is>
          <t>Прибыль (без налогов и костов вне ВБ)</t>
        </is>
      </c>
      <c r="V19" s="11" t="inlineStr"/>
      <c r="W19" s="14">
        <f>W14-W5-(W12*W20*(W21+W22))</f>
        <v/>
      </c>
      <c r="X19" s="14">
        <f>X14-X5-(X12*W20*(W21+W22))</f>
        <v/>
      </c>
      <c r="Y19" s="14">
        <f>Y14-Y5-(Y12*W20*(W21+W22))</f>
        <v/>
      </c>
      <c r="Z19" s="14">
        <f>Z14-Z5-(Z12*W20*(W21+W22))</f>
        <v/>
      </c>
      <c r="AA19" s="14">
        <f>AA14-AA5-(AA12*W20*(W21+W22))</f>
        <v/>
      </c>
      <c r="AB19" s="14">
        <f>AB14-AB5-(AB12*W20*(W21+W22))</f>
        <v/>
      </c>
      <c r="AC19" s="11" t="inlineStr"/>
    </row>
    <row r="20">
      <c r="A20" s="7" t="inlineStr">
        <is>
          <t>Процент выкупа %</t>
        </is>
      </c>
      <c r="B20" s="8" t="inlineStr"/>
      <c r="C20" s="8" t="n">
        <v>0.5</v>
      </c>
      <c r="D20" s="8" t="inlineStr"/>
      <c r="E20" s="8" t="inlineStr"/>
      <c r="F20" s="8" t="inlineStr"/>
      <c r="G20" s="8" t="inlineStr"/>
      <c r="H20" s="8" t="inlineStr"/>
      <c r="I20" s="8" t="inlineStr"/>
      <c r="J20" t="inlineStr"/>
      <c r="K20" s="7" t="inlineStr">
        <is>
          <t>Процент выкупа %</t>
        </is>
      </c>
      <c r="L20" s="8" t="inlineStr"/>
      <c r="M20" s="8" t="n">
        <v>0.5</v>
      </c>
      <c r="N20" s="8" t="inlineStr"/>
      <c r="O20" s="8" t="inlineStr"/>
      <c r="P20" s="8" t="inlineStr"/>
      <c r="Q20" s="8" t="inlineStr"/>
      <c r="R20" s="8" t="inlineStr"/>
      <c r="S20" s="8" t="inlineStr"/>
      <c r="T20" t="inlineStr"/>
      <c r="U20" s="7" t="inlineStr">
        <is>
          <t>Процент выкупа %</t>
        </is>
      </c>
      <c r="V20" s="8" t="inlineStr"/>
      <c r="W20" s="8" t="n">
        <v>0.5</v>
      </c>
      <c r="X20" s="8" t="inlineStr"/>
      <c r="Y20" s="8" t="inlineStr"/>
      <c r="Z20" s="8" t="inlineStr"/>
      <c r="AA20" s="8" t="inlineStr"/>
      <c r="AB20" s="8" t="inlineStr"/>
      <c r="AC20" s="8" t="inlineStr"/>
    </row>
    <row r="21">
      <c r="A21" s="10" t="inlineStr">
        <is>
          <t>Себестоимость</t>
        </is>
      </c>
      <c r="B21" s="11" t="inlineStr"/>
      <c r="C21" s="11" t="n">
        <v>1500</v>
      </c>
      <c r="D21" s="11" t="inlineStr"/>
      <c r="E21" s="11" t="inlineStr"/>
      <c r="F21" s="11" t="inlineStr"/>
      <c r="G21" s="11" t="inlineStr"/>
      <c r="H21" s="11" t="inlineStr"/>
      <c r="I21" s="11" t="inlineStr"/>
      <c r="J21" t="inlineStr"/>
      <c r="K21" s="10" t="inlineStr">
        <is>
          <t>Себестоимость</t>
        </is>
      </c>
      <c r="L21" s="11" t="inlineStr"/>
      <c r="M21" s="11" t="n">
        <v>1500</v>
      </c>
      <c r="N21" s="11" t="inlineStr"/>
      <c r="O21" s="11" t="inlineStr"/>
      <c r="P21" s="11" t="inlineStr"/>
      <c r="Q21" s="11" t="inlineStr"/>
      <c r="R21" s="11" t="inlineStr"/>
      <c r="S21" s="11" t="inlineStr"/>
      <c r="T21" t="inlineStr"/>
      <c r="U21" s="10" t="inlineStr">
        <is>
          <t>Себестоимость</t>
        </is>
      </c>
      <c r="V21" s="11" t="inlineStr"/>
      <c r="W21" s="11" t="n">
        <v>1500</v>
      </c>
      <c r="X21" s="11" t="inlineStr"/>
      <c r="Y21" s="11" t="inlineStr"/>
      <c r="Z21" s="11" t="inlineStr"/>
      <c r="AA21" s="11" t="inlineStr"/>
      <c r="AB21" s="11" t="inlineStr"/>
      <c r="AC21" s="11" t="inlineStr"/>
    </row>
    <row r="22">
      <c r="A22" s="10" t="inlineStr">
        <is>
          <t>Логистика</t>
        </is>
      </c>
      <c r="B22" s="11" t="inlineStr"/>
      <c r="C22" s="11" t="n">
        <v>676</v>
      </c>
      <c r="D22" s="11" t="inlineStr"/>
      <c r="E22" s="11" t="inlineStr"/>
      <c r="F22" s="11" t="inlineStr"/>
      <c r="G22" s="11" t="inlineStr"/>
      <c r="H22" s="11" t="inlineStr"/>
      <c r="I22" s="11" t="inlineStr"/>
      <c r="J22" t="inlineStr"/>
      <c r="K22" s="10" t="inlineStr">
        <is>
          <t>Логистика</t>
        </is>
      </c>
      <c r="L22" s="11" t="inlineStr"/>
      <c r="M22" s="11" t="n">
        <v>676</v>
      </c>
      <c r="N22" s="11" t="inlineStr"/>
      <c r="O22" s="11" t="inlineStr"/>
      <c r="P22" s="11" t="inlineStr"/>
      <c r="Q22" s="11" t="inlineStr"/>
      <c r="R22" s="11" t="inlineStr"/>
      <c r="S22" s="11" t="inlineStr"/>
      <c r="T22" t="inlineStr"/>
      <c r="U22" s="10" t="inlineStr">
        <is>
          <t>Логистика</t>
        </is>
      </c>
      <c r="V22" s="11" t="inlineStr"/>
      <c r="W22" s="11" t="n">
        <v>676</v>
      </c>
      <c r="X22" s="11" t="inlineStr"/>
      <c r="Y22" s="11" t="inlineStr"/>
      <c r="Z22" s="11" t="inlineStr"/>
      <c r="AA22" s="11" t="inlineStr"/>
      <c r="AB22" s="11" t="inlineStr"/>
      <c r="AC22" s="11" t="inlineStr"/>
    </row>
    <row r="23">
      <c r="A23" s="15" t="inlineStr">
        <is>
          <t>Себес</t>
        </is>
      </c>
      <c r="B23" s="16" t="inlineStr"/>
      <c r="C23" s="16" t="inlineStr">
        <is>
          <t>Остатки:</t>
        </is>
      </c>
      <c r="D23" s="16" t="inlineStr"/>
      <c r="E23" s="16" t="inlineStr"/>
      <c r="F23" s="16" t="inlineStr"/>
      <c r="G23" s="16" t="inlineStr"/>
      <c r="H23" s="16" t="inlineStr"/>
      <c r="I23" s="16" t="inlineStr"/>
      <c r="J23" t="inlineStr"/>
      <c r="K23" s="15" t="inlineStr">
        <is>
          <t>Себес</t>
        </is>
      </c>
      <c r="L23" s="16" t="inlineStr"/>
      <c r="M23" s="16" t="inlineStr">
        <is>
          <t>Остатки:</t>
        </is>
      </c>
      <c r="N23" s="16" t="inlineStr"/>
      <c r="O23" s="16" t="inlineStr"/>
      <c r="P23" s="16" t="inlineStr"/>
      <c r="Q23" s="16" t="inlineStr"/>
      <c r="R23" s="16" t="inlineStr"/>
      <c r="S23" s="16" t="inlineStr"/>
      <c r="T23" t="inlineStr"/>
      <c r="U23" s="15" t="inlineStr">
        <is>
          <t>Себес</t>
        </is>
      </c>
      <c r="V23" s="16" t="inlineStr"/>
      <c r="W23" s="16" t="inlineStr">
        <is>
          <t>Остатки:</t>
        </is>
      </c>
      <c r="X23" s="16" t="inlineStr"/>
      <c r="Y23" s="16" t="inlineStr"/>
      <c r="Z23" s="16" t="inlineStr"/>
      <c r="AA23" s="16" t="inlineStr"/>
      <c r="AB23" s="16" t="inlineStr"/>
      <c r="AC23" s="16" t="inlineStr"/>
    </row>
    <row r="24">
      <c r="A24" s="15" t="inlineStr">
        <is>
          <t>Логистика</t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t="inlineStr"/>
      <c r="K24" s="15" t="inlineStr">
        <is>
          <t>Логистика</t>
        </is>
      </c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t="inlineStr"/>
      <c r="U24" s="15" t="inlineStr">
        <is>
          <t>Логистика</t>
        </is>
      </c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</row>
    <row r="25">
      <c r="A25" s="15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t="inlineStr"/>
      <c r="K25" s="15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t="inlineStr"/>
      <c r="U25" s="15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t="inlineStr"/>
      <c r="K26" s="15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t="inlineStr"/>
      <c r="U26" s="15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</row>
    <row r="27">
      <c r="A27" s="15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t="inlineStr"/>
      <c r="K27" s="15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t="inlineStr"/>
      <c r="U27" s="15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</row>
    <row r="28">
      <c r="A28" s="12" t="inlineStr"/>
      <c r="B28" s="13" t="inlineStr"/>
      <c r="C28" s="13" t="inlineStr">
        <is>
          <t>Остатки на складах WB</t>
        </is>
      </c>
      <c r="D28" s="13" t="inlineStr"/>
      <c r="E28" s="13" t="inlineStr"/>
      <c r="F28" s="13" t="inlineStr"/>
      <c r="G28" s="13" t="inlineStr"/>
      <c r="H28" s="13" t="n">
        <v>0</v>
      </c>
      <c r="I28" s="13" t="inlineStr"/>
      <c r="J28" t="inlineStr"/>
      <c r="K28" s="12" t="inlineStr"/>
      <c r="L28" s="13" t="inlineStr"/>
      <c r="M28" s="13" t="inlineStr">
        <is>
          <t>Остатки на складах WB</t>
        </is>
      </c>
      <c r="N28" s="13" t="inlineStr"/>
      <c r="O28" s="13" t="inlineStr"/>
      <c r="P28" s="13" t="inlineStr"/>
      <c r="Q28" s="13" t="inlineStr"/>
      <c r="R28" s="13" t="n">
        <v>0</v>
      </c>
      <c r="S28" s="13" t="inlineStr"/>
      <c r="T28" t="inlineStr"/>
      <c r="U28" s="12" t="inlineStr"/>
      <c r="V28" s="13" t="inlineStr"/>
      <c r="W28" s="13" t="inlineStr">
        <is>
          <t>Остатки на складах WB</t>
        </is>
      </c>
      <c r="X28" s="13" t="inlineStr"/>
      <c r="Y28" s="13" t="inlineStr"/>
      <c r="Z28" s="13" t="inlineStr"/>
      <c r="AA28" s="13" t="inlineStr"/>
      <c r="AB28" s="13" t="n">
        <v>0</v>
      </c>
      <c r="AC28" s="13" t="inlineStr"/>
    </row>
    <row r="29">
      <c r="A29" s="12" t="inlineStr"/>
      <c r="B29" s="13" t="inlineStr"/>
      <c r="C29" s="13" t="inlineStr">
        <is>
          <t>Едут к клиенту</t>
        </is>
      </c>
      <c r="D29" s="13" t="inlineStr"/>
      <c r="E29" s="13" t="inlineStr"/>
      <c r="F29" s="13" t="inlineStr"/>
      <c r="G29" s="13" t="inlineStr"/>
      <c r="H29" s="13" t="n">
        <v>0</v>
      </c>
      <c r="I29" s="13" t="inlineStr"/>
      <c r="J29" t="inlineStr"/>
      <c r="K29" s="12" t="inlineStr"/>
      <c r="L29" s="13" t="inlineStr"/>
      <c r="M29" s="13" t="inlineStr">
        <is>
          <t>Едут к клиенту</t>
        </is>
      </c>
      <c r="N29" s="13" t="inlineStr"/>
      <c r="O29" s="13" t="inlineStr"/>
      <c r="P29" s="13" t="inlineStr"/>
      <c r="Q29" s="13" t="inlineStr"/>
      <c r="R29" s="13" t="n">
        <v>0</v>
      </c>
      <c r="S29" s="13" t="inlineStr"/>
      <c r="T29" t="inlineStr"/>
      <c r="U29" s="12" t="inlineStr"/>
      <c r="V29" s="13" t="inlineStr"/>
      <c r="W29" s="13" t="inlineStr">
        <is>
          <t>Едут к клиенту</t>
        </is>
      </c>
      <c r="X29" s="13" t="inlineStr"/>
      <c r="Y29" s="13" t="inlineStr"/>
      <c r="Z29" s="13" t="inlineStr"/>
      <c r="AA29" s="13" t="inlineStr"/>
      <c r="AB29" s="13" t="n">
        <v>18</v>
      </c>
      <c r="AC29" s="13" t="inlineStr"/>
    </row>
    <row r="30">
      <c r="A30" s="12" t="inlineStr"/>
      <c r="B30" s="13" t="inlineStr"/>
      <c r="C30" s="13" t="inlineStr">
        <is>
          <t>Возвращаются на склад</t>
        </is>
      </c>
      <c r="D30" s="13" t="inlineStr"/>
      <c r="E30" s="13" t="inlineStr"/>
      <c r="F30" s="13" t="inlineStr"/>
      <c r="G30" s="13" t="inlineStr"/>
      <c r="H30" s="13" t="n">
        <v>0</v>
      </c>
      <c r="I30" s="13" t="inlineStr"/>
      <c r="J30" t="inlineStr"/>
      <c r="K30" s="12" t="inlineStr"/>
      <c r="L30" s="13" t="inlineStr"/>
      <c r="M30" s="13" t="inlineStr">
        <is>
          <t>Возвращаются на склад</t>
        </is>
      </c>
      <c r="N30" s="13" t="inlineStr"/>
      <c r="O30" s="13" t="inlineStr"/>
      <c r="P30" s="13" t="inlineStr"/>
      <c r="Q30" s="13" t="inlineStr"/>
      <c r="R30" s="13" t="n">
        <v>0</v>
      </c>
      <c r="S30" s="13" t="inlineStr"/>
      <c r="T30" t="inlineStr"/>
      <c r="U30" s="12" t="inlineStr"/>
      <c r="V30" s="13" t="inlineStr"/>
      <c r="W30" s="13" t="inlineStr">
        <is>
          <t>Возвращаются на склад</t>
        </is>
      </c>
      <c r="X30" s="13" t="inlineStr"/>
      <c r="Y30" s="13" t="inlineStr"/>
      <c r="Z30" s="13" t="inlineStr"/>
      <c r="AA30" s="13" t="inlineStr"/>
      <c r="AB30" s="13" t="n">
        <v>10</v>
      </c>
      <c r="AC30" s="13" t="inlineStr"/>
    </row>
    <row r="31">
      <c r="A31" s="10" t="inlineStr"/>
      <c r="B31" s="11" t="inlineStr"/>
      <c r="C31" s="11" t="inlineStr">
        <is>
          <t>Ср. кол-во заказов/день</t>
        </is>
      </c>
      <c r="D31" s="11" t="inlineStr"/>
      <c r="E31" s="11" t="inlineStr"/>
      <c r="F31" s="11" t="inlineStr"/>
      <c r="G31" s="11" t="inlineStr"/>
      <c r="H31" s="11" t="n">
        <v>3</v>
      </c>
      <c r="I31" s="11" t="inlineStr"/>
      <c r="J31" t="inlineStr"/>
      <c r="K31" s="10" t="inlineStr"/>
      <c r="L31" s="11" t="inlineStr"/>
      <c r="M31" s="11" t="inlineStr">
        <is>
          <t>Ср. кол-во заказов/день</t>
        </is>
      </c>
      <c r="N31" s="11" t="inlineStr"/>
      <c r="O31" s="11" t="inlineStr"/>
      <c r="P31" s="11" t="inlineStr"/>
      <c r="Q31" s="11" t="inlineStr"/>
      <c r="R31" s="11" t="n">
        <v>3</v>
      </c>
      <c r="S31" s="11" t="inlineStr"/>
      <c r="T31" t="inlineStr"/>
      <c r="U31" s="10" t="inlineStr"/>
      <c r="V31" s="11" t="inlineStr"/>
      <c r="W31" s="11" t="inlineStr">
        <is>
          <t>Ср. кол-во заказов/день</t>
        </is>
      </c>
      <c r="X31" s="11" t="inlineStr"/>
      <c r="Y31" s="11" t="inlineStr"/>
      <c r="Z31" s="11" t="inlineStr"/>
      <c r="AA31" s="11" t="inlineStr"/>
      <c r="AB31" s="11" t="n">
        <v>3</v>
      </c>
      <c r="AC31" s="11" t="inlineStr"/>
    </row>
    <row r="32">
      <c r="A32" s="10" t="inlineStr"/>
      <c r="B32" s="11" t="inlineStr"/>
      <c r="C32" s="11" t="inlineStr">
        <is>
          <t>Дней до распродажи в 0</t>
        </is>
      </c>
      <c r="D32" s="11" t="inlineStr"/>
      <c r="E32" s="11" t="inlineStr"/>
      <c r="F32" s="11" t="inlineStr"/>
      <c r="G32" s="11" t="inlineStr"/>
      <c r="H32" s="14">
        <f>IFERROR(H28/H31,0)</f>
        <v/>
      </c>
      <c r="I32" s="11" t="inlineStr"/>
      <c r="J32" t="inlineStr"/>
      <c r="K32" s="10" t="inlineStr"/>
      <c r="L32" s="11" t="inlineStr"/>
      <c r="M32" s="11" t="inlineStr">
        <is>
          <t>Дней до распродажи в 0</t>
        </is>
      </c>
      <c r="N32" s="11" t="inlineStr"/>
      <c r="O32" s="11" t="inlineStr"/>
      <c r="P32" s="11" t="inlineStr"/>
      <c r="Q32" s="11" t="inlineStr"/>
      <c r="R32" s="14">
        <f>IFERROR(R28/R31,0)</f>
        <v/>
      </c>
      <c r="S32" s="11" t="inlineStr"/>
      <c r="T32" t="inlineStr"/>
      <c r="U32" s="10" t="inlineStr"/>
      <c r="V32" s="11" t="inlineStr"/>
      <c r="W32" s="11" t="inlineStr">
        <is>
          <t>Дней до распродажи в 0</t>
        </is>
      </c>
      <c r="X32" s="11" t="inlineStr"/>
      <c r="Y32" s="11" t="inlineStr"/>
      <c r="Z32" s="11" t="inlineStr"/>
      <c r="AA32" s="11" t="inlineStr"/>
      <c r="AB32" s="14">
        <f>IFERROR(AB28/AB31,0)</f>
        <v/>
      </c>
      <c r="AC32" s="11" t="inlineStr"/>
    </row>
    <row r="33">
      <c r="A33" s="17" t="inlineStr">
        <is>
          <t>Ключи</t>
        </is>
      </c>
      <c r="B33" s="17" t="inlineStr"/>
      <c r="C33" s="17" t="inlineStr">
        <is>
          <t>Частота</t>
        </is>
      </c>
      <c r="D33" s="17" t="inlineStr">
        <is>
          <t>поз. ОРГ</t>
        </is>
      </c>
      <c r="E33" s="17" t="inlineStr"/>
      <c r="F33" s="17" t="inlineStr"/>
      <c r="G33" s="17" t="inlineStr"/>
      <c r="H33" s="17" t="inlineStr">
        <is>
          <t>поз. БУСТ</t>
        </is>
      </c>
      <c r="I33" s="17" t="inlineStr">
        <is>
          <t>CTR (%)</t>
        </is>
      </c>
      <c r="J33" t="inlineStr"/>
      <c r="K33" s="17" t="inlineStr">
        <is>
          <t>Ключи</t>
        </is>
      </c>
      <c r="L33" s="17" t="inlineStr"/>
      <c r="M33" s="17" t="inlineStr">
        <is>
          <t>Частота</t>
        </is>
      </c>
      <c r="N33" s="17" t="inlineStr">
        <is>
          <t>поз. ОРГ</t>
        </is>
      </c>
      <c r="O33" s="17" t="inlineStr"/>
      <c r="P33" s="17" t="inlineStr"/>
      <c r="Q33" s="17" t="inlineStr"/>
      <c r="R33" s="17" t="inlineStr">
        <is>
          <t>поз. БУСТ</t>
        </is>
      </c>
      <c r="S33" s="17" t="inlineStr">
        <is>
          <t>CTR (%)</t>
        </is>
      </c>
      <c r="T33" t="inlineStr"/>
      <c r="U33" s="17" t="inlineStr">
        <is>
          <t>Ключи</t>
        </is>
      </c>
      <c r="V33" s="17" t="inlineStr"/>
      <c r="W33" s="17" t="inlineStr">
        <is>
          <t>Частота</t>
        </is>
      </c>
      <c r="X33" s="17" t="inlineStr">
        <is>
          <t>поз. ОРГ</t>
        </is>
      </c>
      <c r="Y33" s="17" t="inlineStr"/>
      <c r="Z33" s="17" t="inlineStr"/>
      <c r="AA33" s="17" t="inlineStr"/>
      <c r="AB33" s="17" t="inlineStr">
        <is>
          <t>поз. БУСТ</t>
        </is>
      </c>
      <c r="AC33" s="17" t="inlineStr">
        <is>
          <t>CTR (%)</t>
        </is>
      </c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  <c r="H34" s="16" t="inlineStr"/>
      <c r="I34" s="16" t="inlineStr"/>
      <c r="J34" t="inlineStr"/>
      <c r="K34" s="15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t="inlineStr"/>
      <c r="U34" s="15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</row>
    <row r="35">
      <c r="A35" s="15" t="inlineStr"/>
      <c r="B35" s="16" t="inlineStr"/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t="inlineStr"/>
      <c r="K35" s="15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t="inlineStr"/>
      <c r="U35" s="15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</row>
    <row r="36">
      <c r="A36" s="17" t="inlineStr"/>
      <c r="B36" s="17" t="inlineStr"/>
      <c r="C36" s="17" t="inlineStr">
        <is>
          <t>Обзор:</t>
        </is>
      </c>
      <c r="D36" s="17" t="inlineStr"/>
      <c r="E36" s="17" t="inlineStr"/>
      <c r="F36" s="17" t="inlineStr"/>
      <c r="G36" s="17" t="inlineStr"/>
      <c r="H36" s="17" t="inlineStr"/>
      <c r="I36" s="17" t="inlineStr"/>
      <c r="J36" t="inlineStr"/>
      <c r="K36" s="17" t="inlineStr"/>
      <c r="L36" s="17" t="inlineStr"/>
      <c r="M36" s="17" t="inlineStr">
        <is>
          <t>Обзор:</t>
        </is>
      </c>
      <c r="N36" s="17" t="inlineStr"/>
      <c r="O36" s="17" t="inlineStr"/>
      <c r="P36" s="17" t="inlineStr"/>
      <c r="Q36" s="17" t="inlineStr"/>
      <c r="R36" s="17" t="inlineStr"/>
      <c r="S36" s="17" t="inlineStr"/>
      <c r="T36" t="inlineStr"/>
      <c r="U36" s="17" t="inlineStr"/>
      <c r="V36" s="17" t="inlineStr"/>
      <c r="W36" s="17" t="inlineStr">
        <is>
          <t>Обзор:</t>
        </is>
      </c>
      <c r="X36" s="17" t="inlineStr"/>
      <c r="Y36" s="17" t="inlineStr"/>
      <c r="Z36" s="17" t="inlineStr"/>
      <c r="AA36" s="17" t="inlineStr"/>
      <c r="AB36" s="17" t="inlineStr"/>
      <c r="AC36" s="17" t="inlineStr"/>
    </row>
    <row r="37">
      <c r="A37" s="7" t="inlineStr"/>
      <c r="B37" s="8" t="inlineStr"/>
      <c r="C37" s="8" t="inlineStr">
        <is>
          <t>СПП</t>
        </is>
      </c>
      <c r="D37" s="8" t="n">
        <v>0</v>
      </c>
      <c r="E37" s="8" t="inlineStr"/>
      <c r="F37" s="8" t="inlineStr"/>
      <c r="G37" s="8" t="inlineStr">
        <is>
          <t>Изм. к пред.</t>
        </is>
      </c>
      <c r="H37" s="8" t="inlineStr"/>
      <c r="I37" s="8" t="inlineStr"/>
      <c r="J37" t="inlineStr"/>
      <c r="K37" s="7" t="inlineStr"/>
      <c r="L37" s="8" t="inlineStr"/>
      <c r="M37" s="8" t="inlineStr">
        <is>
          <t>СПП</t>
        </is>
      </c>
      <c r="N37" s="8" t="n">
        <v>0</v>
      </c>
      <c r="O37" s="8" t="inlineStr"/>
      <c r="P37" s="8" t="inlineStr"/>
      <c r="Q37" s="8" t="inlineStr">
        <is>
          <t>Изм. к пред.</t>
        </is>
      </c>
      <c r="R37" s="8" t="inlineStr"/>
      <c r="S37" s="8" t="n">
        <v>0</v>
      </c>
      <c r="T37" t="inlineStr"/>
      <c r="U37" s="7" t="inlineStr"/>
      <c r="V37" s="8" t="inlineStr"/>
      <c r="W37" s="8" t="inlineStr">
        <is>
          <t>СПП</t>
        </is>
      </c>
      <c r="X37" s="8" t="n">
        <v>0</v>
      </c>
      <c r="Y37" s="8" t="inlineStr"/>
      <c r="Z37" s="8" t="inlineStr"/>
      <c r="AA37" s="8" t="inlineStr">
        <is>
          <t>Изм. к пред.</t>
        </is>
      </c>
      <c r="AB37" s="8" t="inlineStr"/>
      <c r="AC37" s="8" t="n">
        <v>0</v>
      </c>
    </row>
    <row r="38">
      <c r="A38" s="10" t="inlineStr"/>
      <c r="B38" s="11" t="inlineStr"/>
      <c r="C38" s="11" t="inlineStr">
        <is>
          <t>Цена WBSELLER (наша)</t>
        </is>
      </c>
      <c r="D38" s="11" t="inlineStr"/>
      <c r="E38" s="11" t="inlineStr"/>
      <c r="F38" s="11" t="inlineStr"/>
      <c r="G38" s="11" t="n">
        <v>0</v>
      </c>
      <c r="H38" s="11" t="inlineStr"/>
      <c r="I38" s="11" t="inlineStr"/>
      <c r="J38" t="inlineStr"/>
      <c r="K38" s="10" t="inlineStr"/>
      <c r="L38" s="11" t="inlineStr"/>
      <c r="M38" s="11" t="inlineStr">
        <is>
          <t>Цена WBSELLER (наша)</t>
        </is>
      </c>
      <c r="N38" s="11" t="inlineStr"/>
      <c r="O38" s="11" t="inlineStr"/>
      <c r="P38" s="11" t="inlineStr"/>
      <c r="Q38" s="11" t="n">
        <v>0</v>
      </c>
      <c r="R38" s="11" t="inlineStr"/>
      <c r="S38" s="11" t="inlineStr"/>
      <c r="T38" t="inlineStr"/>
      <c r="U38" s="10" t="inlineStr"/>
      <c r="V38" s="11" t="inlineStr"/>
      <c r="W38" s="11" t="inlineStr">
        <is>
          <t>Цена WBSELLER (наша)</t>
        </is>
      </c>
      <c r="X38" s="11" t="inlineStr"/>
      <c r="Y38" s="11" t="inlineStr"/>
      <c r="Z38" s="11" t="inlineStr"/>
      <c r="AA38" s="11" t="n">
        <v>0</v>
      </c>
      <c r="AB38" s="11" t="inlineStr"/>
      <c r="AC38" s="11" t="inlineStr"/>
    </row>
    <row r="39">
      <c r="A39" s="10" t="inlineStr"/>
      <c r="B39" s="11" t="inlineStr"/>
      <c r="C39" s="11" t="inlineStr">
        <is>
          <t>Цена WB (на сайте)</t>
        </is>
      </c>
      <c r="D39" s="11" t="inlineStr"/>
      <c r="E39" s="11" t="inlineStr"/>
      <c r="F39" s="11" t="inlineStr"/>
      <c r="G39" s="11" t="n">
        <v>0</v>
      </c>
      <c r="H39" s="11" t="inlineStr"/>
      <c r="I39" s="11" t="inlineStr"/>
      <c r="J39" t="inlineStr"/>
      <c r="K39" s="10" t="inlineStr"/>
      <c r="L39" s="11" t="inlineStr"/>
      <c r="M39" s="11" t="inlineStr">
        <is>
          <t>Цена WB (на сайте)</t>
        </is>
      </c>
      <c r="N39" s="11" t="inlineStr"/>
      <c r="O39" s="11" t="inlineStr"/>
      <c r="P39" s="11" t="inlineStr"/>
      <c r="Q39" s="11" t="n">
        <v>0</v>
      </c>
      <c r="R39" s="11" t="inlineStr"/>
      <c r="S39" s="11" t="inlineStr"/>
      <c r="T39" t="inlineStr"/>
      <c r="U39" s="10" t="inlineStr"/>
      <c r="V39" s="11" t="inlineStr"/>
      <c r="W39" s="11" t="inlineStr">
        <is>
          <t>Цена WB (на сайте)</t>
        </is>
      </c>
      <c r="X39" s="11" t="inlineStr"/>
      <c r="Y39" s="11" t="inlineStr"/>
      <c r="Z39" s="11" t="inlineStr"/>
      <c r="AA39" s="11" t="n">
        <v>0</v>
      </c>
      <c r="AB39" s="11" t="inlineStr"/>
      <c r="AC39" s="11" t="inlineStr"/>
    </row>
    <row r="40">
      <c r="A40" s="15" t="inlineStr"/>
      <c r="B40" s="16" t="inlineStr"/>
      <c r="C40" s="16" t="inlineStr">
        <is>
          <t>Акция</t>
        </is>
      </c>
      <c r="D40" s="16" t="inlineStr"/>
      <c r="E40" s="16" t="inlineStr"/>
      <c r="F40" s="16" t="inlineStr"/>
      <c r="G40" s="16" t="inlineStr"/>
      <c r="H40" s="16" t="inlineStr"/>
      <c r="I40" s="16" t="inlineStr"/>
      <c r="J40" t="inlineStr"/>
      <c r="K40" s="15" t="inlineStr"/>
      <c r="L40" s="16" t="inlineStr"/>
      <c r="M40" s="16" t="inlineStr">
        <is>
          <t>Акция</t>
        </is>
      </c>
      <c r="N40" s="16" t="inlineStr"/>
      <c r="O40" s="16" t="inlineStr"/>
      <c r="P40" s="16" t="inlineStr"/>
      <c r="Q40" s="16" t="inlineStr"/>
      <c r="R40" s="16" t="inlineStr"/>
      <c r="S40" s="16" t="inlineStr"/>
      <c r="T40" t="inlineStr"/>
      <c r="U40" s="15" t="inlineStr"/>
      <c r="V40" s="16" t="inlineStr"/>
      <c r="W40" s="16" t="inlineStr">
        <is>
          <t>Акция</t>
        </is>
      </c>
      <c r="X40" s="16" t="inlineStr"/>
      <c r="Y40" s="16" t="inlineStr"/>
      <c r="Z40" s="16" t="inlineStr"/>
      <c r="AA40" s="16" t="inlineStr"/>
      <c r="AB40" s="16" t="inlineStr"/>
      <c r="AC40" s="16" t="inlineStr"/>
    </row>
    <row r="41">
      <c r="A41" s="15" t="inlineStr"/>
      <c r="B41" s="16" t="inlineStr"/>
      <c r="C41" s="16" t="inlineStr">
        <is>
          <t>Негативные отзывы</t>
        </is>
      </c>
      <c r="D41" s="16" t="inlineStr"/>
      <c r="E41" s="16" t="inlineStr"/>
      <c r="F41" s="16" t="inlineStr"/>
      <c r="G41" s="16" t="inlineStr"/>
      <c r="H41" s="16" t="inlineStr"/>
      <c r="I41" s="16" t="inlineStr"/>
      <c r="J41" t="inlineStr"/>
      <c r="K41" s="15" t="inlineStr"/>
      <c r="L41" s="16" t="inlineStr"/>
      <c r="M41" s="16" t="inlineStr">
        <is>
          <t>Негативные отзывы</t>
        </is>
      </c>
      <c r="N41" s="16" t="inlineStr"/>
      <c r="O41" s="16" t="inlineStr"/>
      <c r="P41" s="16" t="inlineStr"/>
      <c r="Q41" s="16" t="inlineStr"/>
      <c r="R41" s="16" t="inlineStr"/>
      <c r="S41" s="16" t="inlineStr"/>
      <c r="T41" t="inlineStr"/>
      <c r="U41" s="15" t="inlineStr"/>
      <c r="V41" s="16" t="inlineStr"/>
      <c r="W41" s="16" t="inlineStr">
        <is>
          <t>Негативные отзывы</t>
        </is>
      </c>
      <c r="X41" s="16" t="inlineStr"/>
      <c r="Y41" s="16" t="inlineStr"/>
      <c r="Z41" s="16" t="inlineStr"/>
      <c r="AA41" s="16" t="inlineStr"/>
      <c r="AB41" s="16" t="inlineStr"/>
      <c r="AC41" s="16" t="inlineStr"/>
    </row>
    <row r="42">
      <c r="A42" s="17" t="inlineStr"/>
      <c r="B42" s="17" t="inlineStr"/>
      <c r="C42" s="17" t="inlineStr">
        <is>
          <t>Действия:</t>
        </is>
      </c>
      <c r="D42" s="17" t="inlineStr"/>
      <c r="E42" s="17" t="inlineStr"/>
      <c r="F42" s="17" t="inlineStr"/>
      <c r="G42" s="17" t="inlineStr"/>
      <c r="H42" s="17" t="inlineStr"/>
      <c r="I42" s="17" t="inlineStr"/>
      <c r="J42" t="inlineStr"/>
      <c r="K42" s="17" t="inlineStr"/>
      <c r="L42" s="17" t="inlineStr"/>
      <c r="M42" s="17" t="inlineStr">
        <is>
          <t>Действия: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t="inlineStr"/>
      <c r="U42" s="17" t="inlineStr"/>
      <c r="V42" s="17" t="inlineStr"/>
      <c r="W42" s="17" t="inlineStr">
        <is>
          <t>Действия:</t>
        </is>
      </c>
      <c r="X42" s="17" t="inlineStr"/>
      <c r="Y42" s="17" t="inlineStr"/>
      <c r="Z42" s="17" t="inlineStr"/>
      <c r="AA42" s="17" t="inlineStr"/>
      <c r="AB42" s="17" t="inlineStr"/>
      <c r="AC42" s="17" t="inlineStr"/>
    </row>
    <row r="43">
      <c r="A43" s="15" t="inlineStr"/>
      <c r="B43" s="16" t="inlineStr"/>
      <c r="C43" s="16" t="inlineStr">
        <is>
          <t>Включили РК единая ставка?</t>
        </is>
      </c>
      <c r="D43" s="16" t="inlineStr"/>
      <c r="E43" s="16" t="inlineStr"/>
      <c r="F43" s="16" t="inlineStr"/>
      <c r="G43" s="16" t="inlineStr">
        <is>
          <t>Нет</t>
        </is>
      </c>
      <c r="H43" s="16" t="inlineStr"/>
      <c r="I43" s="16" t="inlineStr"/>
      <c r="J43" t="inlineStr"/>
      <c r="K43" s="15" t="inlineStr"/>
      <c r="L43" s="16" t="inlineStr"/>
      <c r="M43" s="16" t="inlineStr">
        <is>
          <t>Включили РК единая ставка?</t>
        </is>
      </c>
      <c r="N43" s="16" t="inlineStr"/>
      <c r="O43" s="16" t="inlineStr"/>
      <c r="P43" s="16" t="inlineStr"/>
      <c r="Q43" s="16" t="inlineStr">
        <is>
          <t>Нет</t>
        </is>
      </c>
      <c r="R43" s="16" t="inlineStr"/>
      <c r="S43" s="16" t="inlineStr"/>
      <c r="T43" t="inlineStr"/>
      <c r="U43" s="15" t="inlineStr"/>
      <c r="V43" s="16" t="inlineStr"/>
      <c r="W43" s="16" t="inlineStr">
        <is>
          <t>Включили РК единая ставка?</t>
        </is>
      </c>
      <c r="X43" s="16" t="inlineStr"/>
      <c r="Y43" s="16" t="inlineStr"/>
      <c r="Z43" s="16" t="inlineStr"/>
      <c r="AA43" s="16" t="inlineStr">
        <is>
          <t>Нет</t>
        </is>
      </c>
      <c r="AB43" s="16" t="inlineStr"/>
      <c r="AC43" s="16" t="inlineStr"/>
    </row>
    <row r="44">
      <c r="A44" s="15" t="inlineStr"/>
      <c r="B44" s="16" t="inlineStr"/>
      <c r="C44" s="16" t="inlineStr">
        <is>
          <t>Включили РК руч. поиск?</t>
        </is>
      </c>
      <c r="D44" s="16" t="inlineStr"/>
      <c r="E44" s="16" t="inlineStr"/>
      <c r="F44" s="16" t="inlineStr"/>
      <c r="G44" s="16" t="inlineStr">
        <is>
          <t>Нет</t>
        </is>
      </c>
      <c r="H44" s="16" t="inlineStr"/>
      <c r="I44" s="16" t="inlineStr"/>
      <c r="J44" t="inlineStr"/>
      <c r="K44" s="15" t="inlineStr"/>
      <c r="L44" s="16" t="inlineStr"/>
      <c r="M44" s="16" t="inlineStr">
        <is>
          <t>Включили РК руч. поиск?</t>
        </is>
      </c>
      <c r="N44" s="16" t="inlineStr"/>
      <c r="O44" s="16" t="inlineStr"/>
      <c r="P44" s="16" t="inlineStr"/>
      <c r="Q44" s="16" t="inlineStr">
        <is>
          <t>Нет</t>
        </is>
      </c>
      <c r="R44" s="16" t="inlineStr"/>
      <c r="S44" s="16" t="inlineStr"/>
      <c r="T44" t="inlineStr"/>
      <c r="U44" s="15" t="inlineStr"/>
      <c r="V44" s="16" t="inlineStr"/>
      <c r="W44" s="16" t="inlineStr">
        <is>
          <t>Включили РК руч. поиск?</t>
        </is>
      </c>
      <c r="X44" s="16" t="inlineStr"/>
      <c r="Y44" s="16" t="inlineStr"/>
      <c r="Z44" s="16" t="inlineStr"/>
      <c r="AA44" s="16" t="inlineStr">
        <is>
          <t>Нет</t>
        </is>
      </c>
      <c r="AB44" s="16" t="inlineStr"/>
      <c r="AC44" s="16" t="inlineStr"/>
    </row>
    <row r="45">
      <c r="A45" s="15" t="inlineStr"/>
      <c r="B45" s="16" t="inlineStr"/>
      <c r="C45" s="16" t="inlineStr">
        <is>
          <t>Включили РК руч. полки?</t>
        </is>
      </c>
      <c r="D45" s="16" t="inlineStr"/>
      <c r="E45" s="16" t="inlineStr"/>
      <c r="F45" s="16" t="inlineStr"/>
      <c r="G45" s="16" t="inlineStr">
        <is>
          <t>Нет</t>
        </is>
      </c>
      <c r="H45" s="16" t="inlineStr"/>
      <c r="I45" s="16" t="inlineStr"/>
      <c r="J45" t="inlineStr"/>
      <c r="K45" s="15" t="inlineStr"/>
      <c r="L45" s="16" t="inlineStr"/>
      <c r="M45" s="16" t="inlineStr">
        <is>
          <t>Включили РК руч. полки?</t>
        </is>
      </c>
      <c r="N45" s="16" t="inlineStr"/>
      <c r="O45" s="16" t="inlineStr"/>
      <c r="P45" s="16" t="inlineStr"/>
      <c r="Q45" s="16" t="inlineStr">
        <is>
          <t>Нет</t>
        </is>
      </c>
      <c r="R45" s="16" t="inlineStr"/>
      <c r="S45" s="16" t="inlineStr"/>
      <c r="T45" t="inlineStr"/>
      <c r="U45" s="15" t="inlineStr"/>
      <c r="V45" s="16" t="inlineStr"/>
      <c r="W45" s="16" t="inlineStr">
        <is>
          <t>Включили РК руч. полки?</t>
        </is>
      </c>
      <c r="X45" s="16" t="inlineStr"/>
      <c r="Y45" s="16" t="inlineStr"/>
      <c r="Z45" s="16" t="inlineStr"/>
      <c r="AA45" s="16" t="inlineStr">
        <is>
          <t>Нет</t>
        </is>
      </c>
      <c r="AB45" s="16" t="inlineStr"/>
      <c r="AC45" s="16" t="inlineStr"/>
    </row>
    <row r="46">
      <c r="A46" s="15" t="inlineStr"/>
      <c r="B46" s="16" t="inlineStr"/>
      <c r="C46" s="16" t="inlineStr">
        <is>
          <t>Меняли цену? (WBSeller)</t>
        </is>
      </c>
      <c r="D46" s="16" t="inlineStr"/>
      <c r="E46" s="16" t="inlineStr"/>
      <c r="F46" s="16" t="inlineStr"/>
      <c r="G46" s="16" t="inlineStr">
        <is>
          <t>Нет</t>
        </is>
      </c>
      <c r="H46" s="16" t="inlineStr"/>
      <c r="I46" s="16" t="inlineStr"/>
      <c r="J46" t="inlineStr"/>
      <c r="K46" s="15" t="inlineStr"/>
      <c r="L46" s="16" t="inlineStr"/>
      <c r="M46" s="16" t="inlineStr">
        <is>
          <t>Меняли цену? (WBSeller)</t>
        </is>
      </c>
      <c r="N46" s="16" t="inlineStr"/>
      <c r="O46" s="16" t="inlineStr"/>
      <c r="P46" s="16" t="inlineStr"/>
      <c r="Q46" s="16" t="inlineStr">
        <is>
          <t>Нет</t>
        </is>
      </c>
      <c r="R46" s="16" t="inlineStr"/>
      <c r="S46" s="16" t="inlineStr"/>
      <c r="T46" t="inlineStr"/>
      <c r="U46" s="15" t="inlineStr"/>
      <c r="V46" s="16" t="inlineStr"/>
      <c r="W46" s="16" t="inlineStr">
        <is>
          <t>Меняли цену? (WBSeller)</t>
        </is>
      </c>
      <c r="X46" s="16" t="inlineStr"/>
      <c r="Y46" s="16" t="inlineStr"/>
      <c r="Z46" s="16" t="inlineStr"/>
      <c r="AA46" s="16" t="inlineStr">
        <is>
          <t>Нет</t>
        </is>
      </c>
      <c r="AB46" s="16" t="inlineStr"/>
      <c r="AC46" s="16" t="inlineStr"/>
    </row>
    <row r="47">
      <c r="A47" s="17" t="inlineStr"/>
      <c r="B47" s="17" t="inlineStr"/>
      <c r="C47" s="17" t="inlineStr">
        <is>
          <t>Комментарии:</t>
        </is>
      </c>
      <c r="D47" s="17" t="inlineStr"/>
      <c r="E47" s="17" t="inlineStr"/>
      <c r="F47" s="17" t="inlineStr"/>
      <c r="G47" s="17" t="inlineStr"/>
      <c r="H47" s="17" t="inlineStr"/>
      <c r="I47" s="17" t="inlineStr"/>
      <c r="J47" t="inlineStr"/>
      <c r="K47" s="17" t="inlineStr"/>
      <c r="L47" s="17" t="inlineStr"/>
      <c r="M47" s="17" t="inlineStr">
        <is>
          <t>Комментарии:</t>
        </is>
      </c>
      <c r="N47" s="17" t="inlineStr"/>
      <c r="O47" s="17" t="inlineStr"/>
      <c r="P47" s="17" t="inlineStr"/>
      <c r="Q47" s="17" t="inlineStr"/>
      <c r="R47" s="17" t="inlineStr"/>
      <c r="S47" s="17" t="inlineStr"/>
      <c r="T47" t="inlineStr"/>
      <c r="U47" s="17" t="inlineStr"/>
      <c r="V47" s="17" t="inlineStr"/>
      <c r="W47" s="17" t="inlineStr">
        <is>
          <t>Комментарии:</t>
        </is>
      </c>
      <c r="X47" s="17" t="inlineStr"/>
      <c r="Y47" s="17" t="inlineStr"/>
      <c r="Z47" s="17" t="inlineStr"/>
      <c r="AA47" s="17" t="inlineStr"/>
      <c r="AB47" s="17" t="inlineStr"/>
      <c r="AC47" s="17" t="inlineStr"/>
    </row>
    <row r="48" ht="42" customHeight="1">
      <c r="A48" s="15" t="inlineStr"/>
      <c r="B48" s="16" t="inlineStr"/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t="inlineStr"/>
      <c r="K48" s="15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t="inlineStr"/>
      <c r="U48" s="15" t="inlineStr"/>
      <c r="V48" s="16" t="inlineStr"/>
      <c r="W48" s="16" t="inlineStr"/>
      <c r="X48" s="16" t="inlineStr"/>
      <c r="Y48" s="16" t="inlineStr"/>
      <c r="Z48" s="16" t="inlineStr"/>
      <c r="AA48" s="16" t="inlineStr"/>
      <c r="AB48" s="16" t="inlineStr"/>
      <c r="AC48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2026-03-18T15:47:35Z</dcterms:created>
  <dcterms:modified xsi:type="dcterms:W3CDTF">2026-03-18T15:47:37Z</dcterms:modified>
</cp:coreProperties>
</file>